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65698531a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b0f91f0c3c5427c"/>
    <x:sheet xmlns:r="http://schemas.openxmlformats.org/officeDocument/2006/relationships" name="Action Register" sheetId="2" r:id="R5ca25ce1d8f14198"/>
    <x:sheet xmlns:r="http://schemas.openxmlformats.org/officeDocument/2006/relationships" name="Audit Log" sheetId="3" r:id="Re661159e0bef494f"/>
    <x:sheet xmlns:r="http://schemas.openxmlformats.org/officeDocument/2006/relationships" name="Read Me" sheetId="4" r:id="R28c9756a68b243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0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2937"/>
      <x:name val="Arial"/>
    </x:font>
    <x:font>
      <x:b/>
      <x:sz val="10"/>
      <x:color rgb="FF1F4E78"/>
      <x:name val="Arial"/>
    </x:font>
    <x:font>
      <x:b/>
      <x:sz val="18"/>
      <x:color rgb="FF111827"/>
      <x:name val="Arial"/>
    </x:font>
    <x:font>
      <x:b/>
      <x:sz val="10"/>
      <x:color rgb="FF92400E"/>
      <x:name val="Arial"/>
    </x:font>
    <x:font>
      <x:sz val="10"/>
      <x:color rgb="FF78350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EEF7"/>
      </x:patternFill>
    </x:fill>
    <x:fill>
      <x:patternFill patternType="solid">
        <x:fgColor rgb="FFF8FAFC"/>
      </x:patternFill>
    </x:fill>
    <x:fill>
      <x:patternFill patternType="solid">
        <x:fgColor rgb="FFDCE6F1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16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8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6" fillId="3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6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7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7" fillId="4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 wrapText="1"/>
    </x:xf>
    <x:xf numFmtId="200" fontId="2" fillId="0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f120f43304548" /><Relationship Type="http://schemas.openxmlformats.org/officeDocument/2006/relationships/theme" Target="/xl/theme/theme1.xml" Id="R664a391411964ad2" /><Relationship Type="http://schemas.openxmlformats.org/officeDocument/2006/relationships/sharedStrings" Target="/xl/sharedStrings.xml" Id="Re35f79ed05224260" /><Relationship Type="http://schemas.openxmlformats.org/officeDocument/2006/relationships/worksheet" Target="/xl/worksheets/sheet1.xml" Id="R8b0f91f0c3c5427c" /><Relationship Type="http://schemas.openxmlformats.org/officeDocument/2006/relationships/worksheet" Target="/xl/worksheets/sheet2.xml" Id="R5ca25ce1d8f14198" /><Relationship Type="http://schemas.openxmlformats.org/officeDocument/2006/relationships/worksheet" Target="/xl/worksheets/sheet3.xml" Id="Re661159e0bef494f" /><Relationship Type="http://schemas.openxmlformats.org/officeDocument/2006/relationships/worksheet" Target="/xl/worksheets/sheet4.xml" Id="R28c9756a68b24358" /></Relationships>
</file>

<file path=xl/tables/table1.xml><?xml version="1.0" encoding="utf-8"?>
<x:table xmlns:x="http://schemas.openxmlformats.org/spreadsheetml/2006/main" id="1" name="ActionRegisterTable" displayName="ActionRegisterTable" ref="A1:N25" headerRowCount="1" totalsRowCount="0" totalsRowShown="0">
  <x:tableColumns count="14">
    <x:tableColumn id="1" name="Action ID"/>
    <x:tableColumn id="2" name="Project"/>
    <x:tableColumn id="3" name="Action description"/>
    <x:tableColumn id="4" name="Owner"/>
    <x:tableColumn id="5" name="Status"/>
    <x:tableColumn id="6" name="Due date"/>
    <x:tableColumn id="7" name="Dependency or predecessor action"/>
    <x:tableColumn id="8" name="Related past action"/>
    <x:tableColumn id="9" name="Source meeting or discussion"/>
    <x:tableColumn id="10" name="Notes"/>
    <x:tableColumn id="11" name="Last updated date"/>
    <x:tableColumn id="12" name="Last updated by"/>
    <x:tableColumn id="13" name="Days remaining"/>
    <x:tableColumn id="14" name="Deadline ban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8c3a1cfc484b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>
      <x:c r="A1" s="59" t="str">
        <x:v>Action Item Management Dashboard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</x:row>
    <x:row r="2">
      <x:c r="A2" s="61" t="str">
        <x:v>Synthetic single-project demonstration — edit the as-of date to refresh deadline indicators.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</x:row>
    <x:row r="3">
      <x:c r="A3" s="62" t="str">
        <x:v>As-of date</x:v>
      </x:c>
      <x:c r="B3" s="63" t="d">
        <x:v>2026-10-27T00:00:00.000Z</x:v>
      </x:c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</x:row>
    <x:row r="4">
      <x:c r="A4" s="60"/>
      <x:c r="B4" s="60"/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</x:row>
    <x:row r="5">
      <x:c r="A5" s="64" t="str">
        <x:v>Total</x:v>
      </x:c>
      <x:c r="B5" s="65"/>
      <x:c r="C5" s="66" t="str">
        <x:v>Outstanding</x:v>
      </x:c>
      <x:c r="D5" s="65"/>
      <x:c r="E5" s="66" t="str">
        <x:v>Overdue</x:v>
      </x:c>
      <x:c r="F5" s="65"/>
      <x:c r="G5" s="66" t="str">
        <x:v>Reminder</x:v>
      </x:c>
      <x:c r="H5" s="65"/>
      <x:c r="I5" s="66" t="str">
        <x:v>Action needed</x:v>
      </x:c>
      <x:c r="J5" s="65"/>
      <x:c r="K5" s="66" t="str">
        <x:v>Critical</x:v>
      </x:c>
      <x:c r="L5" s="65"/>
      <x:c r="M5" s="66" t="str">
        <x:v>Blocked</x:v>
      </x:c>
      <x:c r="N5" s="67"/>
    </x:row>
    <x:row r="6">
      <x:c r="A6" s="68" t="n">
        <x:f>COUNTA('Action Register'!$A$2:$A$25)</x:f>
        <x:v>24</x:v>
      </x:c>
      <x:c r="B6" s="69"/>
      <x:c r="C6" s="70" t="n">
        <x:f>COUNTIFS('Action Register'!$E$2:$E$25,"&lt;&gt;Completed",'Action Register'!$E$2:$E$25,"&lt;&gt;Cancelled")</x:f>
        <x:v>14</x:v>
      </x:c>
      <x:c r="D6" s="69"/>
      <x:c r="E6" s="70" t="n">
        <x:f>COUNTIF('Action Register'!$N$2:$N$25,"Overdue")</x:f>
        <x:v>2</x:v>
      </x:c>
      <x:c r="F6" s="69"/>
      <x:c r="G6" s="70" t="n">
        <x:f>COUNTIF('Action Register'!$N$2:$N$25,"Reminder")</x:f>
        <x:v>3</x:v>
      </x:c>
      <x:c r="H6" s="69"/>
      <x:c r="I6" s="70" t="n">
        <x:f>COUNTIF('Action Register'!$N$2:$N$25,"Action needed")</x:f>
        <x:v>1</x:v>
      </x:c>
      <x:c r="J6" s="69"/>
      <x:c r="K6" s="70" t="n">
        <x:f>COUNTIF('Action Register'!$N$2:$N$25,"Critical")</x:f>
        <x:v>1</x:v>
      </x:c>
      <x:c r="L6" s="69"/>
      <x:c r="M6" s="70" t="n">
        <x:f>COUNTIF('Action Register'!$E$2:$E$25,"Blocked")</x:f>
        <x:v>2</x:v>
      </x:c>
      <x:c r="N6" s="71"/>
    </x:row>
    <x:row r="7">
      <x:c r="A7" s="60"/>
      <x:c r="B7" s="60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</x:row>
    <x:row r="8">
      <x:c r="A8" s="60"/>
      <x:c r="B8" s="60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</x:row>
    <x:row r="9">
      <x:c r="A9" s="72" t="str">
        <x:v>Deadline band</x:v>
      </x:c>
      <x:c r="B9" s="72" t="str">
        <x:v>Count</x:v>
      </x:c>
      <x:c r="C9" s="60"/>
      <x:c r="D9" s="72" t="str">
        <x:v>Status</x:v>
      </x:c>
      <x:c r="E9" s="72" t="str">
        <x:v>Count</x:v>
      </x:c>
      <x:c r="F9" s="60"/>
      <x:c r="G9" s="73" t="str">
        <x:v>What the dashboard supports</x:v>
      </x:c>
      <x:c r="H9" s="74" t="str"/>
      <x:c r="I9" s="74" t="str"/>
      <x:c r="J9" s="74" t="str"/>
      <x:c r="K9" s="74" t="str"/>
      <x:c r="L9" s="75" t="str"/>
      <x:c r="M9" s="60"/>
      <x:c r="N9" s="60"/>
    </x:row>
    <x:row r="10">
      <x:c r="A10" s="15" t="str">
        <x:v>Overdue</x:v>
      </x:c>
      <x:c r="B10" s="15" t="n">
        <x:f>COUNTIF('Action Register'!$N$2:$N$25,A10)</x:f>
        <x:v>2</x:v>
      </x:c>
      <x:c r="C10" s="60"/>
      <x:c r="D10" s="15" t="str">
        <x:v>Not Started</x:v>
      </x:c>
      <x:c r="E10" s="15" t="n">
        <x:f>COUNTIF('Action Register'!$E$2:$E$25,D10)</x:f>
        <x:v>4</x:v>
      </x:c>
      <x:c r="F10" s="60"/>
      <x:c r="G10" s="76" t="str">
        <x:v>Track outstanding actions</x:v>
      </x:c>
      <x:c r="H10" s="11"/>
      <x:c r="I10" s="11"/>
      <x:c r="J10" s="11"/>
      <x:c r="K10" s="11"/>
      <x:c r="L10" s="77"/>
      <x:c r="M10" s="60"/>
      <x:c r="N10" s="60"/>
    </x:row>
    <x:row r="11">
      <x:c r="A11" s="15" t="str">
        <x:v>Critical</x:v>
      </x:c>
      <x:c r="B11" s="15" t="n">
        <x:f>COUNTIF('Action Register'!$N$2:$N$25,A11)</x:f>
        <x:v>1</x:v>
      </x:c>
      <x:c r="C11" s="60"/>
      <x:c r="D11" s="15" t="str">
        <x:v>In Progress</x:v>
      </x:c>
      <x:c r="E11" s="15" t="n">
        <x:f>COUNTIF('Action Register'!$E$2:$E$25,D11)</x:f>
        <x:v>8</x:v>
      </x:c>
      <x:c r="F11" s="60"/>
      <x:c r="G11" s="76" t="str">
        <x:v>Show approaching and overdue deadlines</x:v>
      </x:c>
      <x:c r="H11" s="11"/>
      <x:c r="I11" s="11"/>
      <x:c r="J11" s="11"/>
      <x:c r="K11" s="11"/>
      <x:c r="L11" s="77"/>
      <x:c r="M11" s="60"/>
      <x:c r="N11" s="60"/>
    </x:row>
    <x:row r="12">
      <x:c r="A12" s="15" t="str">
        <x:v>Action needed</x:v>
      </x:c>
      <x:c r="B12" s="15" t="n">
        <x:f>COUNTIF('Action Register'!$N$2:$N$25,A12)</x:f>
        <x:v>1</x:v>
      </x:c>
      <x:c r="C12" s="60"/>
      <x:c r="D12" s="15" t="str">
        <x:v>Blocked</x:v>
      </x:c>
      <x:c r="E12" s="15" t="n">
        <x:f>COUNTIF('Action Register'!$E$2:$E$25,D12)</x:f>
        <x:v>2</x:v>
      </x:c>
      <x:c r="F12" s="60"/>
      <x:c r="G12" s="76" t="str">
        <x:v>Display explicit dependencies</x:v>
      </x:c>
      <x:c r="H12" s="11"/>
      <x:c r="I12" s="11"/>
      <x:c r="J12" s="11"/>
      <x:c r="K12" s="11"/>
      <x:c r="L12" s="77"/>
      <x:c r="M12" s="60"/>
      <x:c r="N12" s="60"/>
    </x:row>
    <x:row r="13">
      <x:c r="A13" s="15" t="str">
        <x:v>Reminder</x:v>
      </x:c>
      <x:c r="B13" s="15" t="n">
        <x:f>COUNTIF('Action Register'!$N$2:$N$25,A13)</x:f>
        <x:v>3</x:v>
      </x:c>
      <x:c r="C13" s="60"/>
      <x:c r="D13" s="15" t="str">
        <x:v>Completed</x:v>
      </x:c>
      <x:c r="E13" s="15" t="n">
        <x:f>COUNTIF('Action Register'!$E$2:$E$25,D13)</x:f>
        <x:v>10</x:v>
      </x:c>
      <x:c r="F13" s="60"/>
      <x:c r="G13" s="76" t="str">
        <x:v>Link current actions to past actions</x:v>
      </x:c>
      <x:c r="H13" s="11"/>
      <x:c r="I13" s="11"/>
      <x:c r="J13" s="11"/>
      <x:c r="K13" s="11"/>
      <x:c r="L13" s="77"/>
      <x:c r="M13" s="60"/>
      <x:c r="N13" s="60"/>
    </x:row>
    <x:row r="14">
      <x:c r="A14" s="15" t="str">
        <x:v>On track</x:v>
      </x:c>
      <x:c r="B14" s="15" t="n">
        <x:f>COUNTIF('Action Register'!$N$2:$N$25,A14)</x:f>
        <x:v>7</x:v>
      </x:c>
      <x:c r="C14" s="60"/>
      <x:c r="D14" s="15" t="str">
        <x:v>Cancelled</x:v>
      </x:c>
      <x:c r="E14" s="15" t="n">
        <x:f>COUNTIF('Action Register'!$E$2:$E$25,D14)</x:f>
        <x:v>0</x:v>
      </x:c>
      <x:c r="F14" s="60"/>
      <x:c r="G14" s="76" t="str">
        <x:v>Draft reminders and key points</x:v>
      </x:c>
      <x:c r="H14" s="11"/>
      <x:c r="I14" s="11"/>
      <x:c r="J14" s="11"/>
      <x:c r="K14" s="11"/>
      <x:c r="L14" s="77"/>
      <x:c r="M14" s="60"/>
      <x:c r="N14" s="60"/>
    </x:row>
    <x:row r="15">
      <x:c r="A15" s="15" t="str">
        <x:v>Missing due date</x:v>
      </x:c>
      <x:c r="B15" s="15" t="n">
        <x:f>COUNTIF('Action Register'!$N$2:$N$25,A15)</x:f>
        <x:v>0</x:v>
      </x:c>
      <x:c r="C15" s="60"/>
      <x:c r="D15" s="60"/>
      <x:c r="E15" s="60"/>
      <x:c r="F15" s="60"/>
      <x:c r="G15" s="78" t="str">
        <x:v>Archive older workbook versions before overwrite</x:v>
      </x:c>
      <x:c r="H15" s="79"/>
      <x:c r="I15" s="79"/>
      <x:c r="J15" s="79"/>
      <x:c r="K15" s="79"/>
      <x:c r="L15" s="80"/>
      <x:c r="M15" s="60"/>
      <x:c r="N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</x:row>
    <x:row r="18">
      <x:c r="A18" s="81" t="str">
        <x:v>Attention items</x:v>
      </x:c>
      <x:c r="B18" s="81" t="str"/>
      <x:c r="C18" s="81" t="str"/>
      <x:c r="D18" s="81" t="str"/>
      <x:c r="E18" s="81" t="str"/>
      <x:c r="F18" s="81" t="str"/>
      <x:c r="G18" s="60"/>
      <x:c r="H18" s="60"/>
      <x:c r="I18" s="60"/>
      <x:c r="J18" s="60"/>
      <x:c r="K18" s="60"/>
      <x:c r="L18" s="60"/>
      <x:c r="M18" s="60"/>
      <x:c r="N18" s="60"/>
    </x:row>
    <x:row r="19">
      <x:c r="A19" s="82" t="str">
        <x:v>Action ID</x:v>
      </x:c>
      <x:c r="B19" s="82" t="str">
        <x:v>Description</x:v>
      </x:c>
      <x:c r="C19" s="82" t="str">
        <x:v>Owner</x:v>
      </x:c>
      <x:c r="D19" s="82" t="str">
        <x:v>Status</x:v>
      </x:c>
      <x:c r="E19" s="82" t="str">
        <x:v>Due date</x:v>
      </x:c>
      <x:c r="F19" s="82" t="str">
        <x:v>Deadline band</x:v>
      </x:c>
      <x:c r="G19" s="60"/>
      <x:c r="H19" s="60"/>
      <x:c r="I19" s="60"/>
      <x:c r="J19" s="60"/>
      <x:c r="K19" s="60"/>
      <x:c r="L19" s="60"/>
      <x:c r="M19" s="60"/>
      <x:c r="N19" s="60"/>
    </x:row>
    <x:row r="20">
      <x:c r="A20" s="15" t="str">
        <x:f>'Action Register'!A4</x:f>
        <x:v>A-003</x:v>
      </x:c>
      <x:c r="B20" s="15" t="str">
        <x:f>'Action Register'!C4</x:f>
        <x:v>Confirm test equipment availability for interface checks</x:v>
      </x:c>
      <x:c r="C20" s="15" t="str">
        <x:f>'Action Register'!D4</x:f>
        <x:v>Test Manager</x:v>
      </x:c>
      <x:c r="D20" s="15" t="str">
        <x:f>'Action Register'!E4</x:f>
        <x:v>Blocked</x:v>
      </x:c>
      <x:c r="E20" s="16" t="n">
        <x:f>'Action Register'!F4</x:f>
        <x:v>46329</x:v>
      </x:c>
      <x:c r="F20" s="15" t="str">
        <x:f>'Action Register'!N4</x:f>
        <x:v>Critical</x:v>
      </x:c>
      <x:c r="G20" s="60"/>
      <x:c r="H20" s="60"/>
      <x:c r="I20" s="60"/>
      <x:c r="J20" s="60"/>
      <x:c r="K20" s="60"/>
      <x:c r="L20" s="60"/>
      <x:c r="M20" s="60"/>
      <x:c r="N20" s="60"/>
    </x:row>
    <x:row r="21">
      <x:c r="A21" s="15" t="str">
        <x:f>'Action Register'!A9</x:f>
        <x:v>A-008</x:v>
      </x:c>
      <x:c r="B21" s="15" t="str">
        <x:f>'Action Register'!C9</x:f>
        <x:v>Review the open ground-test discrepancies</x:v>
      </x:c>
      <x:c r="C21" s="15" t="str">
        <x:f>'Action Register'!D9</x:f>
        <x:v>Verification Lead</x:v>
      </x:c>
      <x:c r="D21" s="15" t="str">
        <x:f>'Action Register'!E9</x:f>
        <x:v>Blocked</x:v>
      </x:c>
      <x:c r="E21" s="16" t="n">
        <x:f>'Action Register'!F9</x:f>
        <x:v>46320</x:v>
      </x:c>
      <x:c r="F21" s="15" t="str">
        <x:f>'Action Register'!N9</x:f>
        <x:v>Overdue</x:v>
      </x:c>
      <x:c r="G21" s="60"/>
      <x:c r="H21" s="60"/>
      <x:c r="I21" s="60"/>
      <x:c r="J21" s="60"/>
      <x:c r="K21" s="60"/>
      <x:c r="L21" s="60"/>
      <x:c r="M21" s="60"/>
      <x:c r="N21" s="60"/>
    </x:row>
    <x:row r="22">
      <x:c r="A22" s="15" t="str">
        <x:f>'Action Register'!A16</x:f>
        <x:v>A-015</x:v>
      </x:c>
      <x:c r="B22" s="15" t="str">
        <x:f>'Action Register'!C16</x:f>
        <x:v>Prepare a summary of decisions requiring senior review</x:v>
      </x:c>
      <x:c r="C22" s="15" t="str">
        <x:f>'Action Register'!D16</x:f>
        <x:v>Project Manager</x:v>
      </x:c>
      <x:c r="D22" s="15" t="str">
        <x:f>'Action Register'!E16</x:f>
        <x:v>In Progress</x:v>
      </x:c>
      <x:c r="E22" s="16" t="n">
        <x:f>'Action Register'!F16</x:f>
        <x:v>46321</x:v>
      </x:c>
      <x:c r="F22" s="15" t="str">
        <x:f>'Action Register'!N16</x:f>
        <x:v>Overdue</x:v>
      </x:c>
      <x:c r="G22" s="60"/>
      <x:c r="H22" s="60"/>
      <x:c r="I22" s="60"/>
      <x:c r="J22" s="60"/>
      <x:c r="K22" s="60"/>
      <x:c r="L22" s="60"/>
      <x:c r="M22" s="60"/>
      <x:c r="N22" s="60"/>
    </x:row>
    <x:row r="23">
      <x:c r="A23" s="15" t="str">
        <x:f>'Action Register'!A3</x:f>
        <x:v>A-002</x:v>
      </x:c>
      <x:c r="B23" s="15" t="str">
        <x:f>'Action Register'!C3</x:f>
        <x:v>Resolve avionics interface control document comments</x:v>
      </x:c>
      <x:c r="C23" s="15" t="str">
        <x:f>'Action Register'!D3</x:f>
        <x:v>Avionics Lead</x:v>
      </x:c>
      <x:c r="D23" s="15" t="str">
        <x:f>'Action Register'!E3</x:f>
        <x:v>In Progress</x:v>
      </x:c>
      <x:c r="E23" s="16" t="n">
        <x:f>'Action Register'!F3</x:f>
        <x:v>46336</x:v>
      </x:c>
      <x:c r="F23" s="15" t="str">
        <x:f>'Action Register'!N3</x:f>
        <x:v>Action needed</x:v>
      </x:c>
      <x:c r="G23" s="60"/>
      <x:c r="H23" s="60"/>
      <x:c r="I23" s="60"/>
      <x:c r="J23" s="60"/>
      <x:c r="K23" s="60"/>
      <x:c r="L23" s="60"/>
      <x:c r="M23" s="60"/>
      <x:c r="N23" s="60"/>
    </x:row>
    <x:row r="24">
      <x:c r="A24" s="15" t="str">
        <x:f>'Action Register'!A10</x:f>
        <x:v>A-009</x:v>
      </x:c>
      <x:c r="B24" s="15" t="str">
        <x:f>'Action Register'!C10</x:f>
        <x:v>Issue the draft flight-test readiness agenda</x:v>
      </x:c>
      <x:c r="C24" s="15" t="str">
        <x:f>'Action Register'!D10</x:f>
        <x:v>Test Manager</x:v>
      </x:c>
      <x:c r="D24" s="15" t="str">
        <x:f>'Action Register'!E10</x:f>
        <x:v>In Progress</x:v>
      </x:c>
      <x:c r="E24" s="16" t="n">
        <x:f>'Action Register'!F10</x:f>
        <x:v>46340</x:v>
      </x:c>
      <x:c r="F24" s="15" t="str">
        <x:f>'Action Register'!N10</x:f>
        <x:v>Reminder</x:v>
      </x:c>
      <x:c r="G24" s="60"/>
      <x:c r="H24" s="60"/>
      <x:c r="I24" s="60"/>
      <x:c r="J24" s="60"/>
      <x:c r="K24" s="60"/>
      <x:c r="L24" s="60"/>
      <x:c r="M24" s="60"/>
      <x:c r="N24" s="60"/>
    </x:row>
    <x:row r="25">
      <x:c r="A25" s="15" t="str">
        <x:f>'Action Register'!A11</x:f>
        <x:v>A-010</x:v>
      </x:c>
      <x:c r="B25" s="15" t="str">
        <x:f>'Action Register'!C11</x:f>
        <x:v>Confirm the latest configuration status for readiness review</x:v>
      </x:c>
      <x:c r="C25" s="15" t="str">
        <x:f>'Action Register'!D11</x:f>
        <x:v>Configuration Lead</x:v>
      </x:c>
      <x:c r="D25" s="15" t="str">
        <x:f>'Action Register'!E11</x:f>
        <x:v>In Progress</x:v>
      </x:c>
      <x:c r="E25" s="16" t="n">
        <x:f>'Action Register'!F11</x:f>
        <x:v>46338</x:v>
      </x:c>
      <x:c r="F25" s="15" t="str">
        <x:f>'Action Register'!N11</x:f>
        <x:v>Reminder</x:v>
      </x:c>
      <x:c r="G25" s="60"/>
      <x:c r="H25" s="60"/>
      <x:c r="I25" s="60"/>
      <x:c r="J25" s="60"/>
      <x:c r="K25" s="60"/>
      <x:c r="L25" s="60"/>
      <x:c r="M25" s="60"/>
      <x:c r="N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</x:row>
    <x:row r="28">
      <x:c r="A28" s="83" t="str">
        <x:v>Human review required</x:v>
      </x:c>
      <x:c r="B28" s="84" t="str">
        <x:v>AI-suggested historical links and follow-up drafts are not confirmed facts. Review before recording or communicating.</x:v>
      </x:c>
      <x:c r="C28" s="84" t="str"/>
      <x:c r="D28" s="84" t="str"/>
      <x:c r="E28" s="84" t="str"/>
      <x:c r="F28" s="84" t="str"/>
      <x:c r="G28" s="84" t="str"/>
      <x:c r="H28" s="84" t="str"/>
      <x:c r="I28" s="84" t="str"/>
      <x:c r="J28" s="84" t="str"/>
      <x:c r="K28" s="84" t="str"/>
      <x:c r="L28" s="84" t="str"/>
      <x:c r="M28" s="84" t="str"/>
      <x:c r="N28" s="84" t="str"/>
    </x:row>
    <x:row r="29">
      <x:c r="A29" s="83" t="str">
        <x:v>Security boundary</x:v>
      </x:c>
      <x:c r="B29" s="84" t="str">
        <x:v>This workbook uses synthetic demonstration data. Classified use requires the approved on-premises environment and API.</x:v>
      </x:c>
      <x:c r="C29" s="84" t="str"/>
      <x:c r="D29" s="84" t="str"/>
      <x:c r="E29" s="84" t="str"/>
      <x:c r="F29" s="84" t="str"/>
      <x:c r="G29" s="84" t="str"/>
      <x:c r="H29" s="84" t="str"/>
      <x:c r="I29" s="84" t="str"/>
      <x:c r="J29" s="84" t="str"/>
      <x:c r="K29" s="84" t="str"/>
      <x:c r="L29" s="84" t="str"/>
      <x:c r="M29" s="84" t="str"/>
      <x:c r="N29" s="8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7.780000686645508" hidden="0" customWidth="1"/>
    <x:col min="3" max="3" width="42" hidden="0" customWidth="1"/>
    <x:col min="4" max="4" width="15.220000267028809" hidden="0" customWidth="1"/>
    <x:col min="5" max="5" width="8.109999656677246" hidden="0" customWidth="1"/>
    <x:col min="6" max="6" width="8.109999656677246" hidden="0" customWidth="1"/>
    <x:col min="7" max="7" width="24" hidden="0" customWidth="1"/>
    <x:col min="8" max="8" width="24" hidden="0" customWidth="1"/>
    <x:col min="9" max="9" width="34" hidden="0" customWidth="1"/>
    <x:col min="10" max="10" width="38" hidden="0" customWidth="1"/>
    <x:col min="11" max="11" width="13.220000267028809" hidden="0" customWidth="1"/>
    <x:col min="12" max="12" width="11.890000343322754" hidden="0" customWidth="1"/>
    <x:col min="13" max="13" width="11.5600004196167" hidden="0" customWidth="1"/>
    <x:col min="14" max="14" width="10.670000076293945" hidden="0" customWidth="1"/>
  </x:cols>
  <x:sheetData>
    <x:row r="1">
      <x:c r="A1" s="14" t="str">
        <x:v>Action ID</x:v>
      </x:c>
      <x:c r="B1" s="14" t="str">
        <x:v>Project</x:v>
      </x:c>
      <x:c r="C1" s="14" t="str">
        <x:v>Action description</x:v>
      </x:c>
      <x:c r="D1" s="14" t="str">
        <x:v>Owner</x:v>
      </x:c>
      <x:c r="E1" s="14" t="str">
        <x:v>Status</x:v>
      </x:c>
      <x:c r="F1" s="14" t="str">
        <x:v>Due date</x:v>
      </x:c>
      <x:c r="G1" s="14" t="str">
        <x:v>Dependency or predecessor action</x:v>
      </x:c>
      <x:c r="H1" s="14" t="str">
        <x:v>Related past action</x:v>
      </x:c>
      <x:c r="I1" s="14" t="str">
        <x:v>Source meeting or discussion</x:v>
      </x:c>
      <x:c r="J1" s="14" t="str">
        <x:v>Notes</x:v>
      </x:c>
      <x:c r="K1" s="14" t="str">
        <x:v>Last updated date</x:v>
      </x:c>
      <x:c r="L1" s="14" t="str">
        <x:v>Last updated by</x:v>
      </x:c>
      <x:c r="M1" s="14" t="str">
        <x:v>Days remaining</x:v>
      </x:c>
      <x:c r="N1" s="14" t="str">
        <x:v>Deadline band</x:v>
      </x:c>
    </x:row>
    <x:row r="2">
      <x:c r="A2" s="15" t="str">
        <x:v>A-001</x:v>
      </x:c>
      <x:c r="B2" s="15" t="str">
        <x:v>Synthetic Aircraft Systems Demonstration</x:v>
      </x:c>
      <x:c r="C2" s="15" t="str">
        <x:v>Confirm the draft systems integration baseline</x:v>
      </x:c>
      <x:c r="D2" s="15" t="str">
        <x:v>Systems Lead</x:v>
      </x:c>
      <x:c r="E2" s="15" t="str">
        <x:v>In Progress</x:v>
      </x:c>
      <x:c r="F2" s="16" t="d">
        <x:v>2026-11-17T00:00:00.000Z</x:v>
      </x:c>
      <x:c r="G2" s="15" t="str"/>
      <x:c r="H2" s="15" t="str">
        <x:v>A-017</x:v>
      </x:c>
      <x:c r="I2" s="15" t="str">
        <x:v>Systems Integration Review — 01 Oct 2026</x:v>
      </x:c>
      <x:c r="J2" s="15" t="str">
        <x:v>Baseline comments are being consolidated.</x:v>
      </x:c>
      <x:c r="K2" s="16" t="d">
        <x:v>2026-10-27T00:00:00.000Z</x:v>
      </x:c>
      <x:c r="L2" s="15" t="str">
        <x:v>Demo User</x:v>
      </x:c>
      <x:c r="M2" s="17" t="n">
        <x:f>IF(F2="","",F2-Dashboard!$B$3)</x:f>
        <x:v>21</x:v>
      </x:c>
      <x:c r="N2" s="15" t="str">
        <x:f>IF(E2="Completed","Completed",IF(E2="Cancelled","Cancelled",IF(F2="","Missing due date",IF(M2&lt;0,"Overdue",IF(M2&lt;=7,"Critical",IF(M2&lt;=14,"Action needed",IF(M2&lt;=21,"Reminder","On track")))))))</x:f>
        <x:v>Reminder</x:v>
      </x:c>
    </x:row>
    <x:row r="3">
      <x:c r="A3" s="15" t="str">
        <x:v>A-002</x:v>
      </x:c>
      <x:c r="B3" s="15" t="str">
        <x:v>Synthetic Aircraft Systems Demonstration</x:v>
      </x:c>
      <x:c r="C3" s="15" t="str">
        <x:v>Resolve avionics interface control document comments</x:v>
      </x:c>
      <x:c r="D3" s="15" t="str">
        <x:v>Avionics Lead</x:v>
      </x:c>
      <x:c r="E3" s="15" t="str">
        <x:v>In Progress</x:v>
      </x:c>
      <x:c r="F3" s="16" t="d">
        <x:v>2026-11-10T00:00:00.000Z</x:v>
      </x:c>
      <x:c r="G3" s="15" t="str">
        <x:v>A-001</x:v>
      </x:c>
      <x:c r="H3" s="15" t="str">
        <x:v>A-018</x:v>
      </x:c>
      <x:c r="I3" s="15" t="str">
        <x:v>Systems Integration Review — 01 Oct 2026</x:v>
      </x:c>
      <x:c r="J3" s="15" t="str">
        <x:v>Waiting for consolidated interface comments.</x:v>
      </x:c>
      <x:c r="K3" s="16" t="d">
        <x:v>2026-10-27T00:00:00.000Z</x:v>
      </x:c>
      <x:c r="L3" s="15" t="str">
        <x:v>Demo User</x:v>
      </x:c>
      <x:c r="M3" s="17" t="n">
        <x:f>IF(F3="","",F3-Dashboard!$B$3)</x:f>
        <x:v>14</x:v>
      </x:c>
      <x:c r="N3" s="15" t="str">
        <x:f>IF(E3="Completed","Completed",IF(E3="Cancelled","Cancelled",IF(F3="","Missing due date",IF(M3&lt;0,"Overdue",IF(M3&lt;=7,"Critical",IF(M3&lt;=14,"Action needed",IF(M3&lt;=21,"Reminder","On track")))))))</x:f>
        <x:v>Action needed</x:v>
      </x:c>
    </x:row>
    <x:row r="4">
      <x:c r="A4" s="15" t="str">
        <x:v>A-003</x:v>
      </x:c>
      <x:c r="B4" s="15" t="str">
        <x:v>Synthetic Aircraft Systems Demonstration</x:v>
      </x:c>
      <x:c r="C4" s="15" t="str">
        <x:v>Confirm test equipment availability for interface checks</x:v>
      </x:c>
      <x:c r="D4" s="15" t="str">
        <x:v>Test Manager</x:v>
      </x:c>
      <x:c r="E4" s="15" t="str">
        <x:v>Blocked</x:v>
      </x:c>
      <x:c r="F4" s="16" t="d">
        <x:v>2026-11-03T00:00:00.000Z</x:v>
      </x:c>
      <x:c r="G4" s="15" t="str">
        <x:v>A-002</x:v>
      </x:c>
      <x:c r="H4" s="15" t="str">
        <x:v>A-019</x:v>
      </x:c>
      <x:c r="I4" s="15" t="str">
        <x:v>Systems Integration Review — 01 Oct 2026</x:v>
      </x:c>
      <x:c r="J4" s="15" t="str">
        <x:v>Blocked until the interface baseline is confirmed.</x:v>
      </x:c>
      <x:c r="K4" s="16" t="d">
        <x:v>2026-10-27T00:00:00.000Z</x:v>
      </x:c>
      <x:c r="L4" s="15" t="str">
        <x:v>Demo User</x:v>
      </x:c>
      <x:c r="M4" s="17" t="n">
        <x:f>IF(F4="","",F4-Dashboard!$B$3)</x:f>
        <x:v>7</x:v>
      </x:c>
      <x:c r="N4" s="15" t="str">
        <x:f>IF(E4="Completed","Completed",IF(E4="Cancelled","Cancelled",IF(F4="","Missing due date",IF(M4&lt;0,"Overdue",IF(M4&lt;=7,"Critical",IF(M4&lt;=14,"Action needed",IF(M4&lt;=21,"Reminder","On track")))))))</x:f>
        <x:v>Critical</x:v>
      </x:c>
    </x:row>
    <x:row r="5">
      <x:c r="A5" s="15" t="str">
        <x:v>A-004</x:v>
      </x:c>
      <x:c r="B5" s="15" t="str">
        <x:v>Synthetic Aircraft Systems Demonstration</x:v>
      </x:c>
      <x:c r="C5" s="15" t="str">
        <x:v>Update the ground-support equipment interface checklist</x:v>
      </x:c>
      <x:c r="D5" s="15" t="str">
        <x:v>Ground Systems Lead</x:v>
      </x:c>
      <x:c r="E5" s="15" t="str">
        <x:v>Not Started</x:v>
      </x:c>
      <x:c r="F5" s="16" t="d">
        <x:v>2026-11-24T00:00:00.000Z</x:v>
      </x:c>
      <x:c r="G5" s="15" t="str">
        <x:v>A-001</x:v>
      </x:c>
      <x:c r="H5" s="15" t="str">
        <x:v>A-020</x:v>
      </x:c>
      <x:c r="I5" s="15" t="str">
        <x:v>Ground Systems Progress Review — 08 Oct 2026</x:v>
      </x:c>
      <x:c r="J5" s="15" t="str">
        <x:v>Checklist structure requires review.</x:v>
      </x:c>
      <x:c r="K5" s="16" t="d">
        <x:v>2026-10-27T00:00:00.000Z</x:v>
      </x:c>
      <x:c r="L5" s="15" t="str">
        <x:v>Demo User</x:v>
      </x:c>
      <x:c r="M5" s="17" t="n">
        <x:f>IF(F5="","",F5-Dashboard!$B$3)</x:f>
        <x:v>28</x:v>
      </x:c>
      <x:c r="N5" s="15" t="str">
        <x:f>IF(E5="Completed","Completed",IF(E5="Cancelled","Cancelled",IF(F5="","Missing due date",IF(M5&lt;0,"Overdue",IF(M5&lt;=7,"Critical",IF(M5&lt;=14,"Action needed",IF(M5&lt;=21,"Reminder","On track")))))))</x:f>
        <x:v>On track</x:v>
      </x:c>
    </x:row>
    <x:row r="6">
      <x:c r="A6" s="15" t="str">
        <x:v>A-005</x:v>
      </x:c>
      <x:c r="B6" s="15" t="str">
        <x:v>Synthetic Aircraft Systems Demonstration</x:v>
      </x:c>
      <x:c r="C6" s="15" t="str">
        <x:v>Confirm power and cooling assumptions for the test configuration</x:v>
      </x:c>
      <x:c r="D6" s="15" t="str">
        <x:v>Facilities Lead</x:v>
      </x:c>
      <x:c r="E6" s="15" t="str">
        <x:v>In Progress</x:v>
      </x:c>
      <x:c r="F6" s="16" t="d">
        <x:v>2026-12-08T00:00:00.000Z</x:v>
      </x:c>
      <x:c r="G6" s="15" t="str"/>
      <x:c r="H6" s="15" t="str">
        <x:v>A-021</x:v>
      </x:c>
      <x:c r="I6" s="15" t="str">
        <x:v>Ground Systems Progress Review — 08 Oct 2026</x:v>
      </x:c>
      <x:c r="J6" s="15" t="str">
        <x:v>Assumptions are being checked against the latest configuration.</x:v>
      </x:c>
      <x:c r="K6" s="16" t="d">
        <x:v>2026-10-27T00:00:00.000Z</x:v>
      </x:c>
      <x:c r="L6" s="15" t="str">
        <x:v>Demo User</x:v>
      </x:c>
      <x:c r="M6" s="17" t="n">
        <x:f>IF(F6="","",F6-Dashboard!$B$3)</x:f>
        <x:v>42</x:v>
      </x:c>
      <x:c r="N6" s="15" t="str">
        <x:f>IF(E6="Completed","Completed",IF(E6="Cancelled","Cancelled",IF(F6="","Missing due date",IF(M6&lt;0,"Overdue",IF(M6&lt;=7,"Critical",IF(M6&lt;=14,"Action needed",IF(M6&lt;=21,"Reminder","On track")))))))</x:f>
        <x:v>On track</x:v>
      </x:c>
    </x:row>
    <x:row r="7">
      <x:c r="A7" s="15" t="str">
        <x:v>A-006</x:v>
      </x:c>
      <x:c r="B7" s="15" t="str">
        <x:v>Synthetic Aircraft Systems Demonstration</x:v>
      </x:c>
      <x:c r="C7" s="15" t="str">
        <x:v>Prepare an updated risk note for the integration schedule</x:v>
      </x:c>
      <x:c r="D7" s="15" t="str">
        <x:v>Project Manager</x:v>
      </x:c>
      <x:c r="E7" s="15" t="str">
        <x:v>In Progress</x:v>
      </x:c>
      <x:c r="F7" s="16" t="d">
        <x:v>2026-11-20T00:00:00.000Z</x:v>
      </x:c>
      <x:c r="G7" s="15" t="str">
        <x:v>A-002</x:v>
      </x:c>
      <x:c r="H7" s="15" t="str">
        <x:v>A-022</x:v>
      </x:c>
      <x:c r="I7" s="15" t="str">
        <x:v>Ground Systems Progress Review — 08 Oct 2026</x:v>
      </x:c>
      <x:c r="J7" s="15" t="str">
        <x:v>Risk note will include the interface closure dependency.</x:v>
      </x:c>
      <x:c r="K7" s="16" t="d">
        <x:v>2026-10-27T00:00:00.000Z</x:v>
      </x:c>
      <x:c r="L7" s="15" t="str">
        <x:v>Demo User</x:v>
      </x:c>
      <x:c r="M7" s="17" t="n">
        <x:f>IF(F7="","",F7-Dashboard!$B$3)</x:f>
        <x:v>24</x:v>
      </x:c>
      <x:c r="N7" s="15" t="str">
        <x:f>IF(E7="Completed","Completed",IF(E7="Cancelled","Cancelled",IF(F7="","Missing due date",IF(M7&lt;0,"Overdue",IF(M7&lt;=7,"Critical",IF(M7&lt;=14,"Action needed",IF(M7&lt;=21,"Reminder","On track")))))))</x:f>
        <x:v>On track</x:v>
      </x:c>
    </x:row>
    <x:row r="8">
      <x:c r="A8" s="15" t="str">
        <x:v>A-007</x:v>
      </x:c>
      <x:c r="B8" s="15" t="str">
        <x:v>Synthetic Aircraft Systems Demonstration</x:v>
      </x:c>
      <x:c r="C8" s="15" t="str">
        <x:v>Confirm the data package required for the readiness review</x:v>
      </x:c>
      <x:c r="D8" s="15" t="str">
        <x:v>Configuration Lead</x:v>
      </x:c>
      <x:c r="E8" s="15" t="str">
        <x:v>Not Started</x:v>
      </x:c>
      <x:c r="F8" s="16" t="d">
        <x:v>2026-12-01T00:00:00.000Z</x:v>
      </x:c>
      <x:c r="G8" s="15" t="str"/>
      <x:c r="H8" s="15" t="str">
        <x:v>A-023</x:v>
      </x:c>
      <x:c r="I8" s="15" t="str">
        <x:v>Ground Systems Progress Review — 08 Oct 2026</x:v>
      </x:c>
      <x:c r="J8" s="15" t="str">
        <x:v>Package contents are being drafted.</x:v>
      </x:c>
      <x:c r="K8" s="16" t="d">
        <x:v>2026-10-27T00:00:00.000Z</x:v>
      </x:c>
      <x:c r="L8" s="15" t="str">
        <x:v>Demo User</x:v>
      </x:c>
      <x:c r="M8" s="17" t="n">
        <x:f>IF(F8="","",F8-Dashboard!$B$3)</x:f>
        <x:v>35</x:v>
      </x:c>
      <x:c r="N8" s="15" t="str">
        <x:f>IF(E8="Completed","Completed",IF(E8="Cancelled","Cancelled",IF(F8="","Missing due date",IF(M8&lt;0,"Overdue",IF(M8&lt;=7,"Critical",IF(M8&lt;=14,"Action needed",IF(M8&lt;=21,"Reminder","On track")))))))</x:f>
        <x:v>On track</x:v>
      </x:c>
    </x:row>
    <x:row r="9">
      <x:c r="A9" s="15" t="str">
        <x:v>A-008</x:v>
      </x:c>
      <x:c r="B9" s="15" t="str">
        <x:v>Synthetic Aircraft Systems Demonstration</x:v>
      </x:c>
      <x:c r="C9" s="15" t="str">
        <x:v>Review the open ground-test discrepancies</x:v>
      </x:c>
      <x:c r="D9" s="15" t="str">
        <x:v>Verification Lead</x:v>
      </x:c>
      <x:c r="E9" s="15" t="str">
        <x:v>Blocked</x:v>
      </x:c>
      <x:c r="F9" s="16" t="d">
        <x:v>2026-10-25T00:00:00.000Z</x:v>
      </x:c>
      <x:c r="G9" s="15" t="str">
        <x:v>A-003</x:v>
      </x:c>
      <x:c r="H9" s="15" t="str">
        <x:v>A-024</x:v>
      </x:c>
      <x:c r="I9" s="15" t="str">
        <x:v>Ground Systems Progress Review — 08 Oct 2026</x:v>
      </x:c>
      <x:c r="J9" s="15" t="str">
        <x:v>Review depends on the interface test equipment decision.</x:v>
      </x:c>
      <x:c r="K9" s="16" t="d">
        <x:v>2026-10-27T00:00:00.000Z</x:v>
      </x:c>
      <x:c r="L9" s="15" t="str">
        <x:v>Demo User</x:v>
      </x:c>
      <x:c r="M9" s="17" t="n">
        <x:f>IF(F9="","",F9-Dashboard!$B$3)</x:f>
        <x:v>-2</x:v>
      </x:c>
      <x:c r="N9" s="15" t="str">
        <x:f>IF(E9="Completed","Completed",IF(E9="Cancelled","Cancelled",IF(F9="","Missing due date",IF(M9&lt;0,"Overdue",IF(M9&lt;=7,"Critical",IF(M9&lt;=14,"Action needed",IF(M9&lt;=21,"Reminder","On track")))))))</x:f>
        <x:v>Overdue</x:v>
      </x:c>
    </x:row>
    <x:row r="10">
      <x:c r="A10" s="15" t="str">
        <x:v>A-009</x:v>
      </x:c>
      <x:c r="B10" s="15" t="str">
        <x:v>Synthetic Aircraft Systems Demonstration</x:v>
      </x:c>
      <x:c r="C10" s="15" t="str">
        <x:v>Issue the draft flight-test readiness agenda</x:v>
      </x:c>
      <x:c r="D10" s="15" t="str">
        <x:v>Test Manager</x:v>
      </x:c>
      <x:c r="E10" s="15" t="str">
        <x:v>In Progress</x:v>
      </x:c>
      <x:c r="F10" s="16" t="d">
        <x:v>2026-11-14T00:00:00.000Z</x:v>
      </x:c>
      <x:c r="G10" s="15" t="str">
        <x:v>A-007</x:v>
      </x:c>
      <x:c r="H10" s="15" t="str">
        <x:v>A-017</x:v>
      </x:c>
      <x:c r="I10" s="15" t="str">
        <x:v>Flight Test Readiness Review — 15 Oct 2026</x:v>
      </x:c>
      <x:c r="J10" s="15" t="str">
        <x:v>Agenda is being coordinated with workstream leads.</x:v>
      </x:c>
      <x:c r="K10" s="16" t="d">
        <x:v>2026-10-27T00:00:00.000Z</x:v>
      </x:c>
      <x:c r="L10" s="15" t="str">
        <x:v>Demo User</x:v>
      </x:c>
      <x:c r="M10" s="17" t="n">
        <x:f>IF(F10="","",F10-Dashboard!$B$3)</x:f>
        <x:v>18</x:v>
      </x:c>
      <x:c r="N10" s="15" t="str">
        <x:f>IF(E10="Completed","Completed",IF(E10="Cancelled","Cancelled",IF(F10="","Missing due date",IF(M10&lt;0,"Overdue",IF(M10&lt;=7,"Critical",IF(M10&lt;=14,"Action needed",IF(M10&lt;=21,"Reminder","On track")))))))</x:f>
        <x:v>Reminder</x:v>
      </x:c>
    </x:row>
    <x:row r="11">
      <x:c r="A11" s="15" t="str">
        <x:v>A-010</x:v>
      </x:c>
      <x:c r="B11" s="15" t="str">
        <x:v>Synthetic Aircraft Systems Demonstration</x:v>
      </x:c>
      <x:c r="C11" s="15" t="str">
        <x:v>Confirm the latest configuration status for readiness review</x:v>
      </x:c>
      <x:c r="D11" s="15" t="str">
        <x:v>Configuration Lead</x:v>
      </x:c>
      <x:c r="E11" s="15" t="str">
        <x:v>In Progress</x:v>
      </x:c>
      <x:c r="F11" s="16" t="d">
        <x:v>2026-11-12T00:00:00.000Z</x:v>
      </x:c>
      <x:c r="G11" s="15" t="str">
        <x:v>A-007</x:v>
      </x:c>
      <x:c r="H11" s="15" t="str">
        <x:v>A-018</x:v>
      </x:c>
      <x:c r="I11" s="15" t="str">
        <x:v>Flight Test Readiness Review — 15 Oct 2026</x:v>
      </x:c>
      <x:c r="J11" s="15" t="str">
        <x:v>Current configuration list requires final owner confirmation.</x:v>
      </x:c>
      <x:c r="K11" s="16" t="d">
        <x:v>2026-10-27T00:00:00.000Z</x:v>
      </x:c>
      <x:c r="L11" s="15" t="str">
        <x:v>Demo User</x:v>
      </x:c>
      <x:c r="M11" s="17" t="n">
        <x:f>IF(F11="","",F11-Dashboard!$B$3)</x:f>
        <x:v>16</x:v>
      </x:c>
      <x:c r="N11" s="15" t="str">
        <x:f>IF(E11="Completed","Completed",IF(E11="Cancelled","Cancelled",IF(F11="","Missing due date",IF(M11&lt;0,"Overdue",IF(M11&lt;=7,"Critical",IF(M11&lt;=14,"Action needed",IF(M11&lt;=21,"Reminder","On track")))))))</x:f>
        <x:v>Reminder</x:v>
      </x:c>
    </x:row>
    <x:row r="12">
      <x:c r="A12" s="15" t="str">
        <x:v>A-011</x:v>
      </x:c>
      <x:c r="B12" s="15" t="str">
        <x:v>Synthetic Aircraft Systems Demonstration</x:v>
      </x:c>
      <x:c r="C12" s="15" t="str">
        <x:v>Prepare a dependency map for unresolved test actions</x:v>
      </x:c>
      <x:c r="D12" s="15" t="str">
        <x:v>Project Manager</x:v>
      </x:c>
      <x:c r="E12" s="15" t="str">
        <x:v>Not Started</x:v>
      </x:c>
      <x:c r="F12" s="16" t="d">
        <x:v>2026-12-15T00:00:00.000Z</x:v>
      </x:c>
      <x:c r="G12" s="15" t="str">
        <x:v>A-008</x:v>
      </x:c>
      <x:c r="H12" s="15" t="str">
        <x:v>A-019</x:v>
      </x:c>
      <x:c r="I12" s="15" t="str">
        <x:v>Flight Test Readiness Review — 15 Oct 2026</x:v>
      </x:c>
      <x:c r="J12" s="15" t="str">
        <x:v>Map will link open test actions to decisions.</x:v>
      </x:c>
      <x:c r="K12" s="16" t="d">
        <x:v>2026-10-27T00:00:00.000Z</x:v>
      </x:c>
      <x:c r="L12" s="15" t="str">
        <x:v>Demo User</x:v>
      </x:c>
      <x:c r="M12" s="17" t="n">
        <x:f>IF(F12="","",F12-Dashboard!$B$3)</x:f>
        <x:v>49</x:v>
      </x:c>
      <x:c r="N12" s="15" t="str">
        <x:f>IF(E12="Completed","Completed",IF(E12="Cancelled","Cancelled",IF(F12="","Missing due date",IF(M12&lt;0,"Overdue",IF(M12&lt;=7,"Critical",IF(M12&lt;=14,"Action needed",IF(M12&lt;=21,"Reminder","On track")))))))</x:f>
        <x:v>On track</x:v>
      </x:c>
    </x:row>
    <x:row r="13">
      <x:c r="A13" s="15" t="str">
        <x:v>A-012</x:v>
      </x:c>
      <x:c r="B13" s="15" t="str">
        <x:v>Synthetic Aircraft Systems Demonstration</x:v>
      </x:c>
      <x:c r="C13" s="15" t="str">
        <x:v>Confirm review attendees and decision owners</x:v>
      </x:c>
      <x:c r="D13" s="15" t="str">
        <x:v>Project Manager</x:v>
      </x:c>
      <x:c r="E13" s="15" t="str">
        <x:v>Completed</x:v>
      </x:c>
      <x:c r="F13" s="16" t="d">
        <x:v>2026-10-24T00:00:00.000Z</x:v>
      </x:c>
      <x:c r="G13" s="15" t="str"/>
      <x:c r="H13" s="15" t="str">
        <x:v>A-020</x:v>
      </x:c>
      <x:c r="I13" s="15" t="str">
        <x:v>Flight Test Readiness Review — 15 Oct 2026</x:v>
      </x:c>
      <x:c r="J13" s="15" t="str">
        <x:v>Completed; attendance list issued.</x:v>
      </x:c>
      <x:c r="K13" s="16" t="d">
        <x:v>2026-10-27T00:00:00.000Z</x:v>
      </x:c>
      <x:c r="L13" s="15" t="str">
        <x:v>Demo User</x:v>
      </x:c>
      <x:c r="M13" s="17" t="n">
        <x:f>IF(F13="","",F13-Dashboard!$B$3)</x:f>
        <x:v>-3</x:v>
      </x:c>
      <x:c r="N13" s="15" t="str">
        <x:f>IF(E13="Completed","Completed",IF(E13="Cancelled","Cancelled",IF(F13="","Missing due date",IF(M13&lt;0,"Overdue",IF(M13&lt;=7,"Critical",IF(M13&lt;=14,"Action needed",IF(M13&lt;=21,"Reminder","On track")))))))</x:f>
        <x:v>Completed</x:v>
      </x:c>
    </x:row>
    <x:row r="14">
      <x:c r="A14" s="15" t="str">
        <x:v>A-013</x:v>
      </x:c>
      <x:c r="B14" s="15" t="str">
        <x:v>Synthetic Aircraft Systems Demonstration</x:v>
      </x:c>
      <x:c r="C14" s="15" t="str">
        <x:v>Update the integration schedule with confirmed test gates</x:v>
      </x:c>
      <x:c r="D14" s="15" t="str">
        <x:v>Planning Lead</x:v>
      </x:c>
      <x:c r="E14" s="15" t="str">
        <x:v>In Progress</x:v>
      </x:c>
      <x:c r="F14" s="16" t="d">
        <x:v>2026-11-28T00:00:00.000Z</x:v>
      </x:c>
      <x:c r="G14" s="15" t="str">
        <x:v>A-001, A-002</x:v>
      </x:c>
      <x:c r="H14" s="15" t="str">
        <x:v>A-021</x:v>
      </x:c>
      <x:c r="I14" s="15" t="str">
        <x:v>Flight Test Readiness Review — 15 Oct 2026</x:v>
      </x:c>
      <x:c r="J14" s="15" t="str">
        <x:v>Schedule update follows interface baseline closure.</x:v>
      </x:c>
      <x:c r="K14" s="16" t="d">
        <x:v>2026-10-27T00:00:00.000Z</x:v>
      </x:c>
      <x:c r="L14" s="15" t="str">
        <x:v>Demo User</x:v>
      </x:c>
      <x:c r="M14" s="17" t="n">
        <x:f>IF(F14="","",F14-Dashboard!$B$3)</x:f>
        <x:v>32</x:v>
      </x:c>
      <x:c r="N14" s="15" t="str">
        <x:f>IF(E14="Completed","Completed",IF(E14="Cancelled","Cancelled",IF(F14="","Missing due date",IF(M14&lt;0,"Overdue",IF(M14&lt;=7,"Critical",IF(M14&lt;=14,"Action needed",IF(M14&lt;=21,"Reminder","On track")))))))</x:f>
        <x:v>On track</x:v>
      </x:c>
    </x:row>
    <x:row r="15">
      <x:c r="A15" s="15" t="str">
        <x:v>A-014</x:v>
      </x:c>
      <x:c r="B15" s="15" t="str">
        <x:v>Synthetic Aircraft Systems Demonstration</x:v>
      </x:c>
      <x:c r="C15" s="15" t="str">
        <x:v>Review the draft operational support checklist</x:v>
      </x:c>
      <x:c r="D15" s="15" t="str">
        <x:v>Operations Lead</x:v>
      </x:c>
      <x:c r="E15" s="15" t="str">
        <x:v>Not Started</x:v>
      </x:c>
      <x:c r="F15" s="16" t="d">
        <x:v>2026-12-05T00:00:00.000Z</x:v>
      </x:c>
      <x:c r="G15" s="15" t="str">
        <x:v>A-004</x:v>
      </x:c>
      <x:c r="H15" s="15" t="str">
        <x:v>A-022</x:v>
      </x:c>
      <x:c r="I15" s="15" t="str">
        <x:v>Flight Test Readiness Review — 15 Oct 2026</x:v>
      </x:c>
      <x:c r="J15" s="15" t="str">
        <x:v>Checklist will use the updated ground interface assumptions.</x:v>
      </x:c>
      <x:c r="K15" s="16" t="d">
        <x:v>2026-10-27T00:00:00.000Z</x:v>
      </x:c>
      <x:c r="L15" s="15" t="str">
        <x:v>Demo User</x:v>
      </x:c>
      <x:c r="M15" s="17" t="n">
        <x:f>IF(F15="","",F15-Dashboard!$B$3)</x:f>
        <x:v>39</x:v>
      </x:c>
      <x:c r="N15" s="15" t="str">
        <x:f>IF(E15="Completed","Completed",IF(E15="Cancelled","Cancelled",IF(F15="","Missing due date",IF(M15&lt;0,"Overdue",IF(M15&lt;=7,"Critical",IF(M15&lt;=14,"Action needed",IF(M15&lt;=21,"Reminder","On track")))))))</x:f>
        <x:v>On track</x:v>
      </x:c>
    </x:row>
    <x:row r="16">
      <x:c r="A16" s="15" t="str">
        <x:v>A-015</x:v>
      </x:c>
      <x:c r="B16" s="15" t="str">
        <x:v>Synthetic Aircraft Systems Demonstration</x:v>
      </x:c>
      <x:c r="C16" s="15" t="str">
        <x:v>Prepare a summary of decisions requiring senior review</x:v>
      </x:c>
      <x:c r="D16" s="15" t="str">
        <x:v>Project Manager</x:v>
      </x:c>
      <x:c r="E16" s="15" t="str">
        <x:v>In Progress</x:v>
      </x:c>
      <x:c r="F16" s="16" t="d">
        <x:v>2026-10-26T00:00:00.000Z</x:v>
      </x:c>
      <x:c r="G16" s="15" t="str">
        <x:v>A-003, A-008</x:v>
      </x:c>
      <x:c r="H16" s="15" t="str">
        <x:v>A-023</x:v>
      </x:c>
      <x:c r="I16" s="15" t="str">
        <x:v>Flight Test Readiness Review — 15 Oct 2026</x:v>
      </x:c>
      <x:c r="J16" s="15" t="str">
        <x:v>Summary will separate decisions from information items.</x:v>
      </x:c>
      <x:c r="K16" s="16" t="d">
        <x:v>2026-10-27T00:00:00.000Z</x:v>
      </x:c>
      <x:c r="L16" s="15" t="str">
        <x:v>Demo User</x:v>
      </x:c>
      <x:c r="M16" s="17" t="n">
        <x:f>IF(F16="","",F16-Dashboard!$B$3)</x:f>
        <x:v>-1</x:v>
      </x:c>
      <x:c r="N16" s="15" t="str">
        <x:f>IF(E16="Completed","Completed",IF(E16="Cancelled","Cancelled",IF(F16="","Missing due date",IF(M16&lt;0,"Overdue",IF(M16&lt;=7,"Critical",IF(M16&lt;=14,"Action needed",IF(M16&lt;=21,"Reminder","On track")))))))</x:f>
        <x:v>Overdue</x:v>
      </x:c>
    </x:row>
    <x:row r="17">
      <x:c r="A17" s="15" t="str">
        <x:v>A-016</x:v>
      </x:c>
      <x:c r="B17" s="15" t="str">
        <x:v>Synthetic Aircraft Systems Demonstration</x:v>
      </x:c>
      <x:c r="C17" s="15" t="str">
        <x:v>Confirm the document naming and versioning convention</x:v>
      </x:c>
      <x:c r="D17" s="15" t="str">
        <x:v>Configuration Lead</x:v>
      </x:c>
      <x:c r="E17" s="15" t="str">
        <x:v>Completed</x:v>
      </x:c>
      <x:c r="F17" s="16" t="d">
        <x:v>2026-10-20T00:00:00.000Z</x:v>
      </x:c>
      <x:c r="G17" s="15" t="str"/>
      <x:c r="H17" s="15" t="str">
        <x:v>A-024</x:v>
      </x:c>
      <x:c r="I17" s="15" t="str">
        <x:v>Flight Test Readiness Review — 15 Oct 2026</x:v>
      </x:c>
      <x:c r="J17" s="15" t="str">
        <x:v>Completed; convention recorded in the working register.</x:v>
      </x:c>
      <x:c r="K17" s="16" t="d">
        <x:v>2026-10-27T00:00:00.000Z</x:v>
      </x:c>
      <x:c r="L17" s="15" t="str">
        <x:v>Demo User</x:v>
      </x:c>
      <x:c r="M17" s="17" t="n">
        <x:f>IF(F17="","",F17-Dashboard!$B$3)</x:f>
        <x:v>-7</x:v>
      </x:c>
      <x:c r="N17" s="15" t="str">
        <x:f>IF(E17="Completed","Completed",IF(E17="Cancelled","Cancelled",IF(F17="","Missing due date",IF(M17&lt;0,"Overdue",IF(M17&lt;=7,"Critical",IF(M17&lt;=14,"Action needed",IF(M17&lt;=21,"Reminder","On track")))))))</x:f>
        <x:v>Completed</x:v>
      </x:c>
    </x:row>
    <x:row r="18">
      <x:c r="A18" s="15" t="str">
        <x:v>A-017</x:v>
      </x:c>
      <x:c r="B18" s="15" t="str">
        <x:v>Synthetic Aircraft Systems Demonstration</x:v>
      </x:c>
      <x:c r="C18" s="15" t="str">
        <x:v>Complete the initial systems integration baseline</x:v>
      </x:c>
      <x:c r="D18" s="15" t="str">
        <x:v>Systems Lead</x:v>
      </x:c>
      <x:c r="E18" s="15" t="str">
        <x:v>Completed</x:v>
      </x:c>
      <x:c r="F18" s="16" t="d">
        <x:v>2026-10-10T00:00:00.000Z</x:v>
      </x:c>
      <x:c r="G18" s="15" t="str"/>
      <x:c r="H18" s="15" t="str"/>
      <x:c r="I18" s="15" t="str">
        <x:v>Baseline Review — 18 Sep 2026</x:v>
      </x:c>
      <x:c r="J18" s="15" t="str">
        <x:v>Historical action completed for linkage demonstration.</x:v>
      </x:c>
      <x:c r="K18" s="16" t="d">
        <x:v>2026-10-10T00:00:00.000Z</x:v>
      </x:c>
      <x:c r="L18" s="15" t="str">
        <x:v>Demo User</x:v>
      </x:c>
      <x:c r="M18" s="17" t="n">
        <x:f>IF(F18="","",F18-Dashboard!$B$3)</x:f>
        <x:v>-17</x:v>
      </x:c>
      <x:c r="N18" s="15" t="str">
        <x:f>IF(E18="Completed","Completed",IF(E18="Cancelled","Cancelled",IF(F18="","Missing due date",IF(M18&lt;0,"Overdue",IF(M18&lt;=7,"Critical",IF(M18&lt;=14,"Action needed",IF(M18&lt;=21,"Reminder","On track")))))))</x:f>
        <x:v>Completed</x:v>
      </x:c>
    </x:row>
    <x:row r="19">
      <x:c r="A19" s="15" t="str">
        <x:v>A-018</x:v>
      </x:c>
      <x:c r="B19" s="15" t="str">
        <x:v>Synthetic Aircraft Systems Demonstration</x:v>
      </x:c>
      <x:c r="C19" s="15" t="str">
        <x:v>Close the previous interface control document review</x:v>
      </x:c>
      <x:c r="D19" s="15" t="str">
        <x:v>Avionics Lead</x:v>
      </x:c>
      <x:c r="E19" s="15" t="str">
        <x:v>Completed</x:v>
      </x:c>
      <x:c r="F19" s="16" t="d">
        <x:v>2026-10-12T00:00:00.000Z</x:v>
      </x:c>
      <x:c r="G19" s="15" t="str">
        <x:v>A-017</x:v>
      </x:c>
      <x:c r="H19" s="15" t="str"/>
      <x:c r="I19" s="15" t="str">
        <x:v>Baseline Review — 18 Sep 2026</x:v>
      </x:c>
      <x:c r="J19" s="15" t="str">
        <x:v>Historical action completed for linkage demonstration.</x:v>
      </x:c>
      <x:c r="K19" s="16" t="d">
        <x:v>2026-10-12T00:00:00.000Z</x:v>
      </x:c>
      <x:c r="L19" s="15" t="str">
        <x:v>Demo User</x:v>
      </x:c>
      <x:c r="M19" s="17" t="n">
        <x:f>IF(F19="","",F19-Dashboard!$B$3)</x:f>
        <x:v>-15</x:v>
      </x:c>
      <x:c r="N19" s="15" t="str">
        <x:f>IF(E19="Completed","Completed",IF(E19="Cancelled","Cancelled",IF(F19="","Missing due date",IF(M19&lt;0,"Overdue",IF(M19&lt;=7,"Critical",IF(M19&lt;=14,"Action needed",IF(M19&lt;=21,"Reminder","On track")))))))</x:f>
        <x:v>Completed</x:v>
      </x:c>
    </x:row>
    <x:row r="20">
      <x:c r="A20" s="15" t="str">
        <x:v>A-019</x:v>
      </x:c>
      <x:c r="B20" s="15" t="str">
        <x:v>Synthetic Aircraft Systems Demonstration</x:v>
      </x:c>
      <x:c r="C20" s="15" t="str">
        <x:v>Confirm test equipment planning assumptions</x:v>
      </x:c>
      <x:c r="D20" s="15" t="str">
        <x:v>Test Manager</x:v>
      </x:c>
      <x:c r="E20" s="15" t="str">
        <x:v>Completed</x:v>
      </x:c>
      <x:c r="F20" s="16" t="d">
        <x:v>2026-10-14T00:00:00.000Z</x:v>
      </x:c>
      <x:c r="G20" s="15" t="str">
        <x:v>A-017</x:v>
      </x:c>
      <x:c r="H20" s="15" t="str"/>
      <x:c r="I20" s="15" t="str">
        <x:v>Baseline Review — 18 Sep 2026</x:v>
      </x:c>
      <x:c r="J20" s="15" t="str">
        <x:v>Historical action completed for linkage demonstration.</x:v>
      </x:c>
      <x:c r="K20" s="16" t="d">
        <x:v>2026-10-14T00:00:00.000Z</x:v>
      </x:c>
      <x:c r="L20" s="15" t="str">
        <x:v>Demo User</x:v>
      </x:c>
      <x:c r="M20" s="17" t="n">
        <x:f>IF(F20="","",F20-Dashboard!$B$3)</x:f>
        <x:v>-13</x:v>
      </x:c>
      <x:c r="N20" s="15" t="str">
        <x:f>IF(E20="Completed","Completed",IF(E20="Cancelled","Cancelled",IF(F20="","Missing due date",IF(M20&lt;0,"Overdue",IF(M20&lt;=7,"Critical",IF(M20&lt;=14,"Action needed",IF(M20&lt;=21,"Reminder","On track")))))))</x:f>
        <x:v>Completed</x:v>
      </x:c>
    </x:row>
    <x:row r="21">
      <x:c r="A21" s="15" t="str">
        <x:v>A-020</x:v>
      </x:c>
      <x:c r="B21" s="15" t="str">
        <x:v>Synthetic Aircraft Systems Demonstration</x:v>
      </x:c>
      <x:c r="C21" s="15" t="str">
        <x:v>Complete the prior ground-interface checklist review</x:v>
      </x:c>
      <x:c r="D21" s="15" t="str">
        <x:v>Ground Systems Lead</x:v>
      </x:c>
      <x:c r="E21" s="15" t="str">
        <x:v>Completed</x:v>
      </x:c>
      <x:c r="F21" s="16" t="d">
        <x:v>2026-10-16T00:00:00.000Z</x:v>
      </x:c>
      <x:c r="G21" s="15" t="str">
        <x:v>A-017</x:v>
      </x:c>
      <x:c r="H21" s="15" t="str"/>
      <x:c r="I21" s="15" t="str">
        <x:v>Ground Support Review — 22 Sep 2026</x:v>
      </x:c>
      <x:c r="J21" s="15" t="str">
        <x:v>Historical action completed for linkage demonstration.</x:v>
      </x:c>
      <x:c r="K21" s="16" t="d">
        <x:v>2026-10-16T00:00:00.000Z</x:v>
      </x:c>
      <x:c r="L21" s="15" t="str">
        <x:v>Demo User</x:v>
      </x:c>
      <x:c r="M21" s="17" t="n">
        <x:f>IF(F21="","",F21-Dashboard!$B$3)</x:f>
        <x:v>-11</x:v>
      </x:c>
      <x:c r="N21" s="15" t="str">
        <x:f>IF(E21="Completed","Completed",IF(E21="Cancelled","Cancelled",IF(F21="","Missing due date",IF(M21&lt;0,"Overdue",IF(M21&lt;=7,"Critical",IF(M21&lt;=14,"Action needed",IF(M21&lt;=21,"Reminder","On track")))))))</x:f>
        <x:v>Completed</x:v>
      </x:c>
    </x:row>
    <x:row r="22">
      <x:c r="A22" s="15" t="str">
        <x:v>A-021</x:v>
      </x:c>
      <x:c r="B22" s="15" t="str">
        <x:v>Synthetic Aircraft Systems Demonstration</x:v>
      </x:c>
      <x:c r="C22" s="15" t="str">
        <x:v>Record prior configuration assumptions for test facilities</x:v>
      </x:c>
      <x:c r="D22" s="15" t="str">
        <x:v>Facilities Lead</x:v>
      </x:c>
      <x:c r="E22" s="15" t="str">
        <x:v>Completed</x:v>
      </x:c>
      <x:c r="F22" s="16" t="d">
        <x:v>2026-10-17T00:00:00.000Z</x:v>
      </x:c>
      <x:c r="G22" s="15" t="str"/>
      <x:c r="H22" s="15" t="str"/>
      <x:c r="I22" s="15" t="str">
        <x:v>Ground Support Review — 22 Sep 2026</x:v>
      </x:c>
      <x:c r="J22" s="15" t="str">
        <x:v>Historical action completed for linkage demonstration.</x:v>
      </x:c>
      <x:c r="K22" s="16" t="d">
        <x:v>2026-10-17T00:00:00.000Z</x:v>
      </x:c>
      <x:c r="L22" s="15" t="str">
        <x:v>Demo User</x:v>
      </x:c>
      <x:c r="M22" s="17" t="n">
        <x:f>IF(F22="","",F22-Dashboard!$B$3)</x:f>
        <x:v>-10</x:v>
      </x:c>
      <x:c r="N22" s="15" t="str">
        <x:f>IF(E22="Completed","Completed",IF(E22="Cancelled","Cancelled",IF(F22="","Missing due date",IF(M22&lt;0,"Overdue",IF(M22&lt;=7,"Critical",IF(M22&lt;=14,"Action needed",IF(M22&lt;=21,"Reminder","On track")))))))</x:f>
        <x:v>Completed</x:v>
      </x:c>
    </x:row>
    <x:row r="23">
      <x:c r="A23" s="15" t="str">
        <x:v>A-022</x:v>
      </x:c>
      <x:c r="B23" s="15" t="str">
        <x:v>Synthetic Aircraft Systems Demonstration</x:v>
      </x:c>
      <x:c r="C23" s="15" t="str">
        <x:v>Issue the previous integration schedule risk note</x:v>
      </x:c>
      <x:c r="D23" s="15" t="str">
        <x:v>Project Manager</x:v>
      </x:c>
      <x:c r="E23" s="15" t="str">
        <x:v>Completed</x:v>
      </x:c>
      <x:c r="F23" s="16" t="d">
        <x:v>2026-10-18T00:00:00.000Z</x:v>
      </x:c>
      <x:c r="G23" s="15" t="str">
        <x:v>A-018</x:v>
      </x:c>
      <x:c r="H23" s="15" t="str"/>
      <x:c r="I23" s="15" t="str">
        <x:v>Ground Support Review — 22 Sep 2026</x:v>
      </x:c>
      <x:c r="J23" s="15" t="str">
        <x:v>Historical action completed for linkage demonstration.</x:v>
      </x:c>
      <x:c r="K23" s="16" t="d">
        <x:v>2026-10-18T00:00:00.000Z</x:v>
      </x:c>
      <x:c r="L23" s="15" t="str">
        <x:v>Demo User</x:v>
      </x:c>
      <x:c r="M23" s="17" t="n">
        <x:f>IF(F23="","",F23-Dashboard!$B$3)</x:f>
        <x:v>-9</x:v>
      </x:c>
      <x:c r="N23" s="15" t="str">
        <x:f>IF(E23="Completed","Completed",IF(E23="Cancelled","Cancelled",IF(F23="","Missing due date",IF(M23&lt;0,"Overdue",IF(M23&lt;=7,"Critical",IF(M23&lt;=14,"Action needed",IF(M23&lt;=21,"Reminder","On track")))))))</x:f>
        <x:v>Completed</x:v>
      </x:c>
    </x:row>
    <x:row r="24">
      <x:c r="A24" s="15" t="str">
        <x:v>A-023</x:v>
      </x:c>
      <x:c r="B24" s="15" t="str">
        <x:v>Synthetic Aircraft Systems Demonstration</x:v>
      </x:c>
      <x:c r="C24" s="15" t="str">
        <x:v>Prepare the earlier readiness review data package</x:v>
      </x:c>
      <x:c r="D24" s="15" t="str">
        <x:v>Configuration Lead</x:v>
      </x:c>
      <x:c r="E24" s="15" t="str">
        <x:v>Completed</x:v>
      </x:c>
      <x:c r="F24" s="16" t="d">
        <x:v>2026-10-19T00:00:00.000Z</x:v>
      </x:c>
      <x:c r="G24" s="15" t="str">
        <x:v>A-019</x:v>
      </x:c>
      <x:c r="H24" s="15" t="str"/>
      <x:c r="I24" s="15" t="str">
        <x:v>Readiness Review — 25 Sep 2026</x:v>
      </x:c>
      <x:c r="J24" s="15" t="str">
        <x:v>Historical action completed for linkage demonstration.</x:v>
      </x:c>
      <x:c r="K24" s="16" t="d">
        <x:v>2026-10-19T00:00:00.000Z</x:v>
      </x:c>
      <x:c r="L24" s="15" t="str">
        <x:v>Demo User</x:v>
      </x:c>
      <x:c r="M24" s="17" t="n">
        <x:f>IF(F24="","",F24-Dashboard!$B$3)</x:f>
        <x:v>-8</x:v>
      </x:c>
      <x:c r="N24" s="15" t="str">
        <x:f>IF(E24="Completed","Completed",IF(E24="Cancelled","Cancelled",IF(F24="","Missing due date",IF(M24&lt;0,"Overdue",IF(M24&lt;=7,"Critical",IF(M24&lt;=14,"Action needed",IF(M24&lt;=21,"Reminder","On track")))))))</x:f>
        <x:v>Completed</x:v>
      </x:c>
    </x:row>
    <x:row r="25">
      <x:c r="A25" s="15" t="str">
        <x:v>A-024</x:v>
      </x:c>
      <x:c r="B25" s="15" t="str">
        <x:v>Synthetic Aircraft Systems Demonstration</x:v>
      </x:c>
      <x:c r="C25" s="15" t="str">
        <x:v>Record the previous document versioning decision</x:v>
      </x:c>
      <x:c r="D25" s="15" t="str">
        <x:v>Configuration Lead</x:v>
      </x:c>
      <x:c r="E25" s="15" t="str">
        <x:v>Completed</x:v>
      </x:c>
      <x:c r="F25" s="16" t="d">
        <x:v>2026-10-21T00:00:00.000Z</x:v>
      </x:c>
      <x:c r="G25" s="15" t="str"/>
      <x:c r="H25" s="15" t="str"/>
      <x:c r="I25" s="15" t="str">
        <x:v>Readiness Review — 25 Sep 2026</x:v>
      </x:c>
      <x:c r="J25" s="15" t="str">
        <x:v>Historical action completed for linkage demonstration.</x:v>
      </x:c>
      <x:c r="K25" s="16" t="d">
        <x:v>2026-10-21T00:00:00.000Z</x:v>
      </x:c>
      <x:c r="L25" s="15" t="str">
        <x:v>Demo User</x:v>
      </x:c>
      <x:c r="M25" s="17" t="n">
        <x:f>IF(F25="","",F25-Dashboard!$B$3)</x:f>
        <x:v>-6</x:v>
      </x:c>
      <x:c r="N25" s="15" t="str">
        <x:f>IF(E25="Completed","Completed",IF(E25="Cancelled","Cancelled",IF(F25="","Missing due date",IF(M25&lt;0,"Overdue",IF(M25&lt;=7,"Critical",IF(M25&lt;=14,"Action needed",IF(M25&lt;=21,"Reminder","On track")))))))</x:f>
        <x:v>Completed</x:v>
      </x:c>
    </x:row>
  </x:sheetData>
  <x:conditionalFormatting sqref="N2:N25">
    <x:cfRule type="containsText" dxfId="0" priority="1" operator="containsText" text="Overdue"/>
    <x:cfRule type="containsText" dxfId="1" priority="2" operator="containsText" text="Critical"/>
    <x:cfRule type="containsText" dxfId="2" priority="3" operator="containsText" text="Action needed"/>
    <x:cfRule type="containsText" dxfId="3" priority="4" operator="containsText" text="Reminder"/>
  </x:conditionalFormatting>
  <x:conditionalFormatting sqref="E2:E25">
    <x:cfRule type="containsText" dxfId="4" priority="5" operator="containsText" text="Blocked"/>
  </x:conditionalFormatting>
  <x:dataValidations count="1">
    <x:dataValidation type="list" sqref="E2:E25">
      <x:formula1>"Not Started,In Progress,Blocked,Completed,Cancelled"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8c3a1cfc484b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7" t="str">
        <x:v>Timestamp</x:v>
      </x:c>
      <x:c r="B1" s="37" t="str">
        <x:v>User</x:v>
      </x:c>
      <x:c r="C1" s="37" t="str">
        <x:v>Action ID</x:v>
      </x:c>
      <x:c r="D1" s="37" t="str">
        <x:v>Field</x:v>
      </x:c>
      <x:c r="E1" s="37" t="str">
        <x:v>Previous value</x:v>
      </x:c>
      <x:c r="F1" s="37" t="str">
        <x:v>New value</x:v>
      </x:c>
    </x:row>
    <x:row r="2">
      <x:c r="A2" s="53" t="d">
        <x:v>2026-10-27T00:00:00.000Z</x:v>
      </x:c>
      <x:c r="B2" s="38" t="str">
        <x:v>Demo User</x:v>
      </x:c>
      <x:c r="C2" s="38" t="str"/>
      <x:c r="D2" s="38" t="str"/>
      <x:c r="E2" s="38" t="str"/>
      <x:c r="F2" s="38" t="str">
        <x:v>Synthetic demonstration workbook created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>
      <x:c r="A1" s="37" t="str">
        <x:v>Item</x:v>
      </x:c>
      <x:c r="B1" s="37" t="str">
        <x:v>Definition</x:v>
      </x:c>
    </x:row>
    <x:row r="2">
      <x:c r="A2" s="86" t="str">
        <x:v>Workbook purpose</x:v>
      </x:c>
      <x:c r="B2" s="86" t="str">
        <x:v>Editable action register and dashboard for one synthetic project.</x:v>
      </x:c>
    </x:row>
    <x:row r="3">
      <x:c r="A3" s="86" t="str">
        <x:v>Source of truth</x:v>
      </x:c>
      <x:c r="B3" s="86" t="str">
        <x:v>Action Register sheet in the working Excel file.</x:v>
      </x:c>
    </x:row>
    <x:row r="4">
      <x:c r="A4" s="86" t="str">
        <x:v>Deadline logic</x:v>
      </x:c>
      <x:c r="B4" s="86" t="str">
        <x:v>15–21 days Reminder; 8–14 days Action needed; 0–7 days Critical; passed due date Overdue.</x:v>
      </x:c>
    </x:row>
    <x:row r="5">
      <x:c r="A5" s="86" t="str">
        <x:v>Blocked</x:v>
      </x:c>
      <x:c r="B5" s="86" t="str">
        <x:v>The action cannot progress because of an unresolved dependency, decision, resource, access or external constraint.</x:v>
      </x:c>
    </x:row>
    <x:row r="6">
      <x:c r="A6" s="86" t="str">
        <x:v>Traceability</x:v>
      </x:c>
      <x:c r="B6" s="86" t="str">
        <x:v>The dashboard records the update user and field-level previous/new values when changes are saved.</x:v>
      </x:c>
    </x:row>
    <x:row r="7">
      <x:c r="A7" s="86" t="str">
        <x:v>Rollback</x:v>
      </x:c>
      <x:c r="B7" s="86" t="str">
        <x:v>The previous working workbook is archived before overwrite. Restore is an authorised operational step.</x:v>
      </x:c>
    </x:row>
    <x:row r="8">
      <x:c r="A8" s="86" t="str">
        <x:v>AI boundary</x:v>
      </x:c>
      <x:c r="B8" s="86" t="str">
        <x:v>The on-premises AI API is optional and replaceable. Deterministic fallback is used when it is not connected.</x:v>
      </x:c>
    </x:row>
    <x:row r="9">
      <x:c r="A9" s="86" t="str">
        <x:v>Communication</x:v>
      </x:c>
      <x:c r="B9" s="86" t="str">
        <x:v>Reminder and key-point outputs are drafts only. Nothing is sent automatically.</x:v>
      </x:c>
    </x:row>
    <x:row r="10">
      <x:c r="A10" s="86" t="str">
        <x:v>Security</x:v>
      </x:c>
      <x:c r="B10" s="86" t="str">
        <x:v>This file contains synthetic demonstration data. Do not use classified information outside the approved environment.</x:v>
      </x:c>
    </x:row>
  </x:sheetData>
  <x:pageMargins left="0.7" right="0.7" top="0.75" bottom="0.75" header="0.3" footer="0.3"/>
</x:worksheet>
</file>