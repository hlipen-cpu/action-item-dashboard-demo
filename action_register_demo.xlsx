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LIPEN\Downloads\"/>
    </mc:Choice>
  </mc:AlternateContent>
  <xr:revisionPtr revIDLastSave="0" documentId="8_{3257F5CC-EAED-4B60-A614-F2FAEC007595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Action Register" sheetId="1" r:id="rId1"/>
    <sheet name="Meeting 1" sheetId="2" r:id="rId2"/>
    <sheet name="Meeting 2" sheetId="3" r:id="rId3"/>
    <sheet name="Meeting 3" sheetId="4" r:id="rId4"/>
  </sheets>
  <calcPr calcId="0"/>
</workbook>
</file>

<file path=xl/sharedStrings.xml><?xml version="1.0" encoding="utf-8"?>
<sst xmlns="http://schemas.openxmlformats.org/spreadsheetml/2006/main" count="484" uniqueCount="121">
  <si>
    <t>Action Register — Demonstration Dataset</t>
  </si>
  <si>
    <t>24 fictional action items extracted from 3 meeting-note examples | As-of date: 27 Oct 2026 | Verify before operational use</t>
  </si>
  <si>
    <t>Action ID</t>
  </si>
  <si>
    <t>Project</t>
  </si>
  <si>
    <t>Action description</t>
  </si>
  <si>
    <t>Owner</t>
  </si>
  <si>
    <t>Status</t>
  </si>
  <si>
    <t>Due date</t>
  </si>
  <si>
    <t>Dependency or predecessor action</t>
  </si>
  <si>
    <t>Related past action</t>
  </si>
  <si>
    <t>Source meeting or discussion</t>
  </si>
  <si>
    <t>Notes</t>
  </si>
  <si>
    <t>Last updated date</t>
  </si>
  <si>
    <t>M1-A01</t>
  </si>
  <si>
    <t>Aircraft Development Demonstration</t>
  </si>
  <si>
    <t>Confirm the baseline aircraft configuration for the next design review.</t>
  </si>
  <si>
    <t>Airframe Lead</t>
  </si>
  <si>
    <t>In Progress</t>
  </si>
  <si>
    <t>None</t>
  </si>
  <si>
    <t>MISSING — verify prior action register</t>
  </si>
  <si>
    <t>Aircraft Development Weekly Coordination Meeting — 07 Oct 2026</t>
  </si>
  <si>
    <t>Fictional sample action. Confirm against actual meeting minutes.</t>
  </si>
  <si>
    <t>M1-A02</t>
  </si>
  <si>
    <t>Consolidate open interface questions between the aircraft and ground support equipment.</t>
  </si>
  <si>
    <t>Systems Engineering Lead</t>
  </si>
  <si>
    <t>Blocked</t>
  </si>
  <si>
    <t>Waiting for inputs from affected technical leads.</t>
  </si>
  <si>
    <t>M1-A03</t>
  </si>
  <si>
    <t>Prepare a draft system-requirements traceability update.</t>
  </si>
  <si>
    <t>Requirements Manager</t>
  </si>
  <si>
    <t>Not Started</t>
  </si>
  <si>
    <t>Draft should identify unresolved traceability links.</t>
  </si>
  <si>
    <t>M1-A04</t>
  </si>
  <si>
    <t>Obtain updated ground-support equipment interface dimensions from the supplier.</t>
  </si>
  <si>
    <t>Ground Systems Lead</t>
  </si>
  <si>
    <t>Supplier response is required before the interface review.</t>
  </si>
  <si>
    <t>M1-A05</t>
  </si>
  <si>
    <t>Review the propulsion test data package for completeness against the agreed checklist.</t>
  </si>
  <si>
    <t>Test and Evaluation Lead</t>
  </si>
  <si>
    <t>At Risk</t>
  </si>
  <si>
    <t>Use the agreed checklist and record missing evidence.</t>
  </si>
  <si>
    <t>M1-A06</t>
  </si>
  <si>
    <t>Draft risk treatment for unresolved power and cooling margins.</t>
  </si>
  <si>
    <t>Risk treatment remains subject to engineering review.</t>
  </si>
  <si>
    <t>M1-A07</t>
  </si>
  <si>
    <t>Schedule a cross-functional review of maintainability assumptions.</t>
  </si>
  <si>
    <t>Project Scheduler</t>
  </si>
  <si>
    <t>Include aircraft and ground-system representatives.</t>
  </si>
  <si>
    <t>M1-A08</t>
  </si>
  <si>
    <t>Submit integrated design-review entry and exit criteria for project-manager approval.</t>
  </si>
  <si>
    <t>Project Manager</t>
  </si>
  <si>
    <t>M1-A06; M1-A07</t>
  </si>
  <si>
    <t>Approval point for the next design-review cycle.</t>
  </si>
  <si>
    <t>M2-A01</t>
  </si>
  <si>
    <t>Air Base Ground Systems Demonstration</t>
  </si>
  <si>
    <t>Close the interface-question log from the prior coordination meeting.</t>
  </si>
  <si>
    <t>Air Base Ground Systems Integration Meeting — 14 Oct 2026</t>
  </si>
  <si>
    <t>Demonstrates a cross-meeting predecessor link.</t>
  </si>
  <si>
    <t>M2-A02</t>
  </si>
  <si>
    <t>Issue the revised aircraft-to-ground-equipment interface control document.</t>
  </si>
  <si>
    <t>Configuration Manager</t>
  </si>
  <si>
    <t>Revision requires configuration-control review.</t>
  </si>
  <si>
    <t>M2-A03</t>
  </si>
  <si>
    <t>Provide a preliminary ground-test plan and resource estimate.</t>
  </si>
  <si>
    <t>Completed</t>
  </si>
  <si>
    <t>Sample completed item for dashboard testing.</t>
  </si>
  <si>
    <t>M2-A04</t>
  </si>
  <si>
    <t>Verify availability of representative support equipment for integration trials.</t>
  </si>
  <si>
    <t>Logistics Lead</t>
  </si>
  <si>
    <t>Availability is not confirmed in this demonstration dataset.</t>
  </si>
  <si>
    <t>M2-A05</t>
  </si>
  <si>
    <t>Update the programme schedule with confirmed test dependencies.</t>
  </si>
  <si>
    <t>Update should preserve predecessor relationships.</t>
  </si>
  <si>
    <t>M2-A06</t>
  </si>
  <si>
    <t>Review supplier lead times for critical non-sensitive components.</t>
  </si>
  <si>
    <t>Supply Chain Lead</t>
  </si>
  <si>
    <t>Sample action is limited to non-sensitive component planning.</t>
  </si>
  <si>
    <t>M2-A07</t>
  </si>
  <si>
    <t>Confirm safety-review inputs required before ground integration.</t>
  </si>
  <si>
    <t>Safety Lead</t>
  </si>
  <si>
    <t>List evidence required for the next safety review.</t>
  </si>
  <si>
    <t>M2-A08</t>
  </si>
  <si>
    <t>Present a consolidated integration-readiness recommendation.</t>
  </si>
  <si>
    <t>M2-A05; M2-A07</t>
  </si>
  <si>
    <t>Recommendation remains subject to human review.</t>
  </si>
  <si>
    <t>M3-A01</t>
  </si>
  <si>
    <t>Flight-Test Readiness Demonstration</t>
  </si>
  <si>
    <t>Confirm the test-article configuration freeze for the readiness review.</t>
  </si>
  <si>
    <t>Flight-Test Readiness and Certification Review — 21 Oct 2026</t>
  </si>
  <si>
    <t>Demonstrates a dependency spanning two meetings.</t>
  </si>
  <si>
    <t>M3-A02</t>
  </si>
  <si>
    <t>Record the configuration baseline and change-control checkpoints.</t>
  </si>
  <si>
    <t>Maintain a traceable baseline for the demonstration.</t>
  </si>
  <si>
    <t>M3-A03</t>
  </si>
  <si>
    <t>Complete a ground-test procedure dry run with the responsible leads.</t>
  </si>
  <si>
    <t>Dry run is dependent on representative support equipment.</t>
  </si>
  <si>
    <t>M3-A04</t>
  </si>
  <si>
    <t>Resolve outstanding test-instrumentation availability issues.</t>
  </si>
  <si>
    <t>Record the blocker and proposed mitigation.</t>
  </si>
  <si>
    <t>M3-A05</t>
  </si>
  <si>
    <t>Review the logistics and transport plan for test equipment.</t>
  </si>
  <si>
    <t>Confirm the plan is compatible with the test schedule.</t>
  </si>
  <si>
    <t>M3-A06</t>
  </si>
  <si>
    <t>Prepare a decision paper for unresolved schedule risks.</t>
  </si>
  <si>
    <t>Decision paper should show options and consequences.</t>
  </si>
  <si>
    <t>M3-A07</t>
  </si>
  <si>
    <t>Obtain sign-off on the safety and configuration evidence pack.</t>
  </si>
  <si>
    <t>Sign-off remains a human approval step.</t>
  </si>
  <si>
    <t>M3-A08</t>
  </si>
  <si>
    <t>Conduct the readiness review and record follow-up actions.</t>
  </si>
  <si>
    <t>M3-A06; M3-A07</t>
  </si>
  <si>
    <t>This action would generate the next action-register update.</t>
  </si>
  <si>
    <t>Meeting 1 — Aircraft Development Coordination</t>
  </si>
  <si>
    <t>Meeting date: 07 Oct 2026 | Fictional demonstration data only</t>
  </si>
  <si>
    <t>07 Oct 2026</t>
  </si>
  <si>
    <t>Meeting 2 — Air Base Ground Systems Integration</t>
  </si>
  <si>
    <t>Meeting date: 14 Oct 2026 | Fictional demonstration data only</t>
  </si>
  <si>
    <t>14 Oct 2026</t>
  </si>
  <si>
    <t>Meeting 3 — Flight-Test Readiness and Certification Review</t>
  </si>
  <si>
    <t>Meeting date: 21 Oct 2026 | Fictional demonstration data only</t>
  </si>
  <si>
    <t>21 Oct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</si>
</sst>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>
    <font>
      <sz val="11"/>
      <name val="Carlito"/>
    </font>
    <font>
      <b/>
      <sz val="15"/>
      <color rgb="FF1F2937"/>
      <name val="Arial"/>
    </font>
    <font>
      <i/>
      <sz val="10"/>
      <color rgb="FF6B7280"/>
      <name val="Arial"/>
    </font>
    <font>
      <b/>
      <sz val="10"/>
      <color rgb="FFFFFFFF"/>
      <name val="Arial"/>
    </font>
    <font>
      <sz val="10"/>
      <color rgb="FF111827"/>
      <name val="Arial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16"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27632A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27632A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27632A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27632A"/>
      </font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ctionRegisterTable" displayName="ActionRegisterTable" ref="A4:K28" totalsRowShown="0">
  <autoFilter ref="A4:K28" xr:uid="{00000000-0009-0000-0100-000001000000}"/>
  <tableColumns count="11">
    <tableColumn id="1" xr3:uid="{00000000-0010-0000-0000-000001000000}" name="Action ID"/>
    <tableColumn id="2" xr3:uid="{00000000-0010-0000-0000-000002000000}" name="Project"/>
    <tableColumn id="3" xr3:uid="{00000000-0010-0000-0000-000003000000}" name="Action description"/>
    <tableColumn id="4" xr3:uid="{00000000-0010-0000-0000-000004000000}" name="Owner"/>
    <tableColumn id="5" xr3:uid="{00000000-0010-0000-0000-000005000000}" name="Status"/>
    <tableColumn id="6" xr3:uid="{00000000-0010-0000-0000-000006000000}" name="Due date"/>
    <tableColumn id="7" xr3:uid="{00000000-0010-0000-0000-000007000000}" name="Dependency or predecessor action"/>
    <tableColumn id="8" xr3:uid="{00000000-0010-0000-0000-000008000000}" name="Related past action"/>
    <tableColumn id="9" xr3:uid="{00000000-0010-0000-0000-000009000000}" name="Source meeting or discussion"/>
    <tableColumn id="10" xr3:uid="{00000000-0010-0000-0000-00000A000000}" name="Notes"/>
    <tableColumn id="11" xr3:uid="{00000000-0010-0000-0000-00000B000000}" name="Last updated da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eeting1Table" displayName="Meeting1Table" ref="A4:K12" totalsRowShown="0">
  <autoFilter ref="A4:K12" xr:uid="{00000000-0009-0000-0100-000002000000}"/>
  <tableColumns count="11">
    <tableColumn id="1" xr3:uid="{00000000-0010-0000-0100-000001000000}" name="Action ID"/>
    <tableColumn id="2" xr3:uid="{00000000-0010-0000-0100-000002000000}" name="Project"/>
    <tableColumn id="3" xr3:uid="{00000000-0010-0000-0100-000003000000}" name="Action description"/>
    <tableColumn id="4" xr3:uid="{00000000-0010-0000-0100-000004000000}" name="Owner"/>
    <tableColumn id="5" xr3:uid="{00000000-0010-0000-0100-000005000000}" name="Status"/>
    <tableColumn id="6" xr3:uid="{00000000-0010-0000-0100-000006000000}" name="Due date"/>
    <tableColumn id="7" xr3:uid="{00000000-0010-0000-0100-000007000000}" name="Dependency or predecessor action"/>
    <tableColumn id="8" xr3:uid="{00000000-0010-0000-0100-000008000000}" name="Related past action"/>
    <tableColumn id="9" xr3:uid="{00000000-0010-0000-0100-000009000000}" name="Source meeting or discussion"/>
    <tableColumn id="10" xr3:uid="{00000000-0010-0000-0100-00000A000000}" name="Notes"/>
    <tableColumn id="11" xr3:uid="{00000000-0010-0000-0100-00000B000000}" name="Last updated da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eeting2Table" displayName="Meeting2Table" ref="A4:K12" totalsRowShown="0">
  <autoFilter ref="A4:K12" xr:uid="{00000000-0009-0000-0100-000003000000}"/>
  <tableColumns count="11">
    <tableColumn id="1" xr3:uid="{00000000-0010-0000-0200-000001000000}" name="Action ID"/>
    <tableColumn id="2" xr3:uid="{00000000-0010-0000-0200-000002000000}" name="Project"/>
    <tableColumn id="3" xr3:uid="{00000000-0010-0000-0200-000003000000}" name="Action description"/>
    <tableColumn id="4" xr3:uid="{00000000-0010-0000-0200-000004000000}" name="Owner"/>
    <tableColumn id="5" xr3:uid="{00000000-0010-0000-0200-000005000000}" name="Status"/>
    <tableColumn id="6" xr3:uid="{00000000-0010-0000-0200-000006000000}" name="Due date"/>
    <tableColumn id="7" xr3:uid="{00000000-0010-0000-0200-000007000000}" name="Dependency or predecessor action"/>
    <tableColumn id="8" xr3:uid="{00000000-0010-0000-0200-000008000000}" name="Related past action"/>
    <tableColumn id="9" xr3:uid="{00000000-0010-0000-0200-000009000000}" name="Source meeting or discussion"/>
    <tableColumn id="10" xr3:uid="{00000000-0010-0000-0200-00000A000000}" name="Notes"/>
    <tableColumn id="11" xr3:uid="{00000000-0010-0000-0200-00000B000000}" name="Last updated d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eeting3Table" displayName="Meeting3Table" ref="A4:K12" totalsRowShown="0">
  <autoFilter ref="A4:K12" xr:uid="{00000000-0009-0000-0100-000004000000}"/>
  <tableColumns count="11">
    <tableColumn id="1" xr3:uid="{00000000-0010-0000-0300-000001000000}" name="Action ID"/>
    <tableColumn id="2" xr3:uid="{00000000-0010-0000-0300-000002000000}" name="Project"/>
    <tableColumn id="3" xr3:uid="{00000000-0010-0000-0300-000003000000}" name="Action description"/>
    <tableColumn id="4" xr3:uid="{00000000-0010-0000-0300-000004000000}" name="Owner"/>
    <tableColumn id="5" xr3:uid="{00000000-0010-0000-0300-000005000000}" name="Status"/>
    <tableColumn id="6" xr3:uid="{00000000-0010-0000-0300-000006000000}" name="Due date"/>
    <tableColumn id="7" xr3:uid="{00000000-0010-0000-0300-000007000000}" name="Dependency or predecessor action"/>
    <tableColumn id="8" xr3:uid="{00000000-0010-0000-0300-000008000000}" name="Related past action"/>
    <tableColumn id="9" xr3:uid="{00000000-0010-0000-0300-000009000000}" name="Source meeting or discussion"/>
    <tableColumn id="10" xr3:uid="{00000000-0010-0000-0300-00000A000000}" name="Notes"/>
    <tableColumn id="11" xr3:uid="{00000000-0010-0000-0300-00000B000000}" name="Last updated 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8"/>
  <sheetViews>
    <sheetView showGridLines="0" tabSelected="1" workbookViewId="0">
      <pane ySplit="4" topLeftCell="A5" activePane="bottomLeft" state="frozen"/>
      <selection pane="bottomLeft"/>
    </sheetView>
  </sheetViews>
  <sheetFormatPr defaultRowHeight="14"/>
  <cols>
    <col min="1" max="1" width="12" customWidth="1"/>
    <col min="2" max="2" width="28" customWidth="1"/>
    <col min="3" max="3" width="52" customWidth="1"/>
    <col min="4" max="4" width="23" customWidth="1"/>
    <col min="5" max="6" width="14" customWidth="1"/>
    <col min="7" max="7" width="27" customWidth="1"/>
    <col min="8" max="8" width="25" customWidth="1"/>
    <col min="9" max="10" width="42" customWidth="1"/>
    <col min="11" max="11" width="17" customWidth="1"/>
  </cols>
  <sheetData>
    <row r="1" spans="1:11" ht="24" customHeight="1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spans="1:11" ht="18" customHeight="1">
      <c r="A2" s="6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</row>
    <row r="4" spans="1:11" ht="34" customHeight="1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</row>
    <row r="5" spans="1:11" ht="42" customHeight="1">
      <c r="A5" s="3" t="s">
        <v>13</v>
      </c>
      <c r="B5" s="2" t="s">
        <v>14</v>
      </c>
      <c r="C5" s="2" t="s">
        <v>15</v>
      </c>
      <c r="D5" s="2" t="s">
        <v>16</v>
      </c>
      <c r="E5" s="3" t="s">
        <v>17</v>
      </c>
      <c r="F5" s="4">
        <v>46304</v>
      </c>
      <c r="G5" s="2" t="s">
        <v>18</v>
      </c>
      <c r="H5" s="2" t="s">
        <v>19</v>
      </c>
      <c r="I5" s="2" t="s">
        <v>20</v>
      </c>
      <c r="J5" s="2" t="s">
        <v>21</v>
      </c>
      <c r="K5" s="4">
        <v>46322</v>
      </c>
    </row>
    <row r="6" spans="1:11" ht="42" customHeight="1">
      <c r="A6" s="3" t="s">
        <v>22</v>
      </c>
      <c r="B6" s="2" t="s">
        <v>14</v>
      </c>
      <c r="C6" s="2" t="s">
        <v>23</v>
      </c>
      <c r="D6" s="2" t="s">
        <v>24</v>
      </c>
      <c r="E6" s="3" t="s">
        <v>25</v>
      </c>
      <c r="F6" s="4">
        <v>46308</v>
      </c>
      <c r="G6" s="2" t="s">
        <v>18</v>
      </c>
      <c r="H6" s="2" t="s">
        <v>19</v>
      </c>
      <c r="I6" s="2" t="s">
        <v>20</v>
      </c>
      <c r="J6" s="2" t="s">
        <v>26</v>
      </c>
      <c r="K6" s="4">
        <v>46322</v>
      </c>
    </row>
    <row r="7" spans="1:11" ht="42" customHeight="1">
      <c r="A7" s="3" t="s">
        <v>27</v>
      </c>
      <c r="B7" s="2" t="s">
        <v>14</v>
      </c>
      <c r="C7" s="2" t="s">
        <v>28</v>
      </c>
      <c r="D7" s="2" t="s">
        <v>29</v>
      </c>
      <c r="E7" s="3" t="s">
        <v>30</v>
      </c>
      <c r="F7" s="4">
        <v>46315</v>
      </c>
      <c r="G7" s="2" t="s">
        <v>13</v>
      </c>
      <c r="H7" s="2" t="s">
        <v>19</v>
      </c>
      <c r="I7" s="2" t="s">
        <v>20</v>
      </c>
      <c r="J7" s="2" t="s">
        <v>31</v>
      </c>
      <c r="K7" s="4">
        <v>46322</v>
      </c>
    </row>
    <row r="8" spans="1:11" ht="42" customHeight="1">
      <c r="A8" s="3" t="s">
        <v>32</v>
      </c>
      <c r="B8" s="2" t="s">
        <v>14</v>
      </c>
      <c r="C8" s="2" t="s">
        <v>33</v>
      </c>
      <c r="D8" s="2" t="s">
        <v>34</v>
      </c>
      <c r="E8" s="3" t="s">
        <v>17</v>
      </c>
      <c r="F8" s="4">
        <v>46322</v>
      </c>
      <c r="G8" s="2" t="s">
        <v>22</v>
      </c>
      <c r="H8" s="2" t="s">
        <v>19</v>
      </c>
      <c r="I8" s="2" t="s">
        <v>20</v>
      </c>
      <c r="J8" s="2" t="s">
        <v>35</v>
      </c>
      <c r="K8" s="4">
        <v>46322</v>
      </c>
    </row>
    <row r="9" spans="1:11" ht="42" customHeight="1">
      <c r="A9" s="3" t="s">
        <v>36</v>
      </c>
      <c r="B9" s="2" t="s">
        <v>14</v>
      </c>
      <c r="C9" s="2" t="s">
        <v>37</v>
      </c>
      <c r="D9" s="2" t="s">
        <v>38</v>
      </c>
      <c r="E9" s="3" t="s">
        <v>39</v>
      </c>
      <c r="F9" s="4">
        <v>46329</v>
      </c>
      <c r="G9" s="2" t="s">
        <v>27</v>
      </c>
      <c r="H9" s="2" t="s">
        <v>19</v>
      </c>
      <c r="I9" s="2" t="s">
        <v>20</v>
      </c>
      <c r="J9" s="2" t="s">
        <v>40</v>
      </c>
      <c r="K9" s="4">
        <v>46322</v>
      </c>
    </row>
    <row r="10" spans="1:11" ht="42" customHeight="1">
      <c r="A10" s="3" t="s">
        <v>41</v>
      </c>
      <c r="B10" s="2" t="s">
        <v>14</v>
      </c>
      <c r="C10" s="2" t="s">
        <v>42</v>
      </c>
      <c r="D10" s="2" t="s">
        <v>24</v>
      </c>
      <c r="E10" s="3" t="s">
        <v>17</v>
      </c>
      <c r="F10" s="4">
        <v>46336</v>
      </c>
      <c r="G10" s="2" t="s">
        <v>36</v>
      </c>
      <c r="H10" s="2" t="s">
        <v>19</v>
      </c>
      <c r="I10" s="2" t="s">
        <v>20</v>
      </c>
      <c r="J10" s="2" t="s">
        <v>43</v>
      </c>
      <c r="K10" s="4">
        <v>46322</v>
      </c>
    </row>
    <row r="11" spans="1:11" ht="42" customHeight="1">
      <c r="A11" s="3" t="s">
        <v>44</v>
      </c>
      <c r="B11" s="2" t="s">
        <v>14</v>
      </c>
      <c r="C11" s="2" t="s">
        <v>45</v>
      </c>
      <c r="D11" s="2" t="s">
        <v>46</v>
      </c>
      <c r="E11" s="3" t="s">
        <v>30</v>
      </c>
      <c r="F11" s="4">
        <v>46343</v>
      </c>
      <c r="G11" s="2" t="s">
        <v>32</v>
      </c>
      <c r="H11" s="2" t="s">
        <v>19</v>
      </c>
      <c r="I11" s="2" t="s">
        <v>20</v>
      </c>
      <c r="J11" s="2" t="s">
        <v>47</v>
      </c>
      <c r="K11" s="4">
        <v>46322</v>
      </c>
    </row>
    <row r="12" spans="1:11" ht="42" customHeight="1">
      <c r="A12" s="3" t="s">
        <v>48</v>
      </c>
      <c r="B12" s="2" t="s">
        <v>14</v>
      </c>
      <c r="C12" s="2" t="s">
        <v>49</v>
      </c>
      <c r="D12" s="2" t="s">
        <v>50</v>
      </c>
      <c r="E12" s="3" t="s">
        <v>30</v>
      </c>
      <c r="F12" s="4">
        <v>46357</v>
      </c>
      <c r="G12" s="2" t="s">
        <v>51</v>
      </c>
      <c r="H12" s="2" t="s">
        <v>19</v>
      </c>
      <c r="I12" s="2" t="s">
        <v>20</v>
      </c>
      <c r="J12" s="2" t="s">
        <v>52</v>
      </c>
      <c r="K12" s="4">
        <v>46322</v>
      </c>
    </row>
    <row r="13" spans="1:11" ht="42" customHeight="1">
      <c r="A13" s="3" t="s">
        <v>53</v>
      </c>
      <c r="B13" s="2" t="s">
        <v>54</v>
      </c>
      <c r="C13" s="2" t="s">
        <v>55</v>
      </c>
      <c r="D13" s="2" t="s">
        <v>24</v>
      </c>
      <c r="E13" s="3" t="s">
        <v>17</v>
      </c>
      <c r="F13" s="4">
        <v>46311</v>
      </c>
      <c r="G13" s="2" t="s">
        <v>36</v>
      </c>
      <c r="H13" s="2" t="s">
        <v>22</v>
      </c>
      <c r="I13" s="2" t="s">
        <v>56</v>
      </c>
      <c r="J13" s="2" t="s">
        <v>57</v>
      </c>
      <c r="K13" s="4">
        <v>46322</v>
      </c>
    </row>
    <row r="14" spans="1:11" ht="42" customHeight="1">
      <c r="A14" s="3" t="s">
        <v>58</v>
      </c>
      <c r="B14" s="2" t="s">
        <v>54</v>
      </c>
      <c r="C14" s="2" t="s">
        <v>59</v>
      </c>
      <c r="D14" s="2" t="s">
        <v>60</v>
      </c>
      <c r="E14" s="3" t="s">
        <v>39</v>
      </c>
      <c r="F14" s="4">
        <v>46317</v>
      </c>
      <c r="G14" s="2" t="s">
        <v>53</v>
      </c>
      <c r="H14" s="2" t="s">
        <v>32</v>
      </c>
      <c r="I14" s="2" t="s">
        <v>56</v>
      </c>
      <c r="J14" s="2" t="s">
        <v>61</v>
      </c>
      <c r="K14" s="4">
        <v>46322</v>
      </c>
    </row>
    <row r="15" spans="1:11" ht="42" customHeight="1">
      <c r="A15" s="3" t="s">
        <v>62</v>
      </c>
      <c r="B15" s="2" t="s">
        <v>54</v>
      </c>
      <c r="C15" s="2" t="s">
        <v>63</v>
      </c>
      <c r="D15" s="2" t="s">
        <v>34</v>
      </c>
      <c r="E15" s="3" t="s">
        <v>64</v>
      </c>
      <c r="F15" s="4">
        <v>46324</v>
      </c>
      <c r="G15" s="2" t="s">
        <v>41</v>
      </c>
      <c r="H15" s="2" t="s">
        <v>41</v>
      </c>
      <c r="I15" s="2" t="s">
        <v>56</v>
      </c>
      <c r="J15" s="2" t="s">
        <v>65</v>
      </c>
      <c r="K15" s="4">
        <v>46322</v>
      </c>
    </row>
    <row r="16" spans="1:11" ht="42" customHeight="1">
      <c r="A16" s="3" t="s">
        <v>66</v>
      </c>
      <c r="B16" s="2" t="s">
        <v>54</v>
      </c>
      <c r="C16" s="2" t="s">
        <v>67</v>
      </c>
      <c r="D16" s="2" t="s">
        <v>68</v>
      </c>
      <c r="E16" s="3" t="s">
        <v>25</v>
      </c>
      <c r="F16" s="4">
        <v>46331</v>
      </c>
      <c r="G16" s="2" t="s">
        <v>62</v>
      </c>
      <c r="H16" s="2" t="s">
        <v>44</v>
      </c>
      <c r="I16" s="2" t="s">
        <v>56</v>
      </c>
      <c r="J16" s="2" t="s">
        <v>69</v>
      </c>
      <c r="K16" s="4">
        <v>46322</v>
      </c>
    </row>
    <row r="17" spans="1:11" ht="42" customHeight="1">
      <c r="A17" s="3" t="s">
        <v>70</v>
      </c>
      <c r="B17" s="2" t="s">
        <v>54</v>
      </c>
      <c r="C17" s="2" t="s">
        <v>71</v>
      </c>
      <c r="D17" s="2" t="s">
        <v>46</v>
      </c>
      <c r="E17" s="3" t="s">
        <v>17</v>
      </c>
      <c r="F17" s="4">
        <v>46338</v>
      </c>
      <c r="G17" s="2" t="s">
        <v>58</v>
      </c>
      <c r="H17" s="2" t="s">
        <v>48</v>
      </c>
      <c r="I17" s="2" t="s">
        <v>56</v>
      </c>
      <c r="J17" s="2" t="s">
        <v>72</v>
      </c>
      <c r="K17" s="4">
        <v>46322</v>
      </c>
    </row>
    <row r="18" spans="1:11" ht="42" customHeight="1">
      <c r="A18" s="3" t="s">
        <v>73</v>
      </c>
      <c r="B18" s="2" t="s">
        <v>54</v>
      </c>
      <c r="C18" s="2" t="s">
        <v>74</v>
      </c>
      <c r="D18" s="2" t="s">
        <v>75</v>
      </c>
      <c r="E18" s="3" t="s">
        <v>17</v>
      </c>
      <c r="F18" s="4">
        <v>46345</v>
      </c>
      <c r="G18" s="2" t="s">
        <v>48</v>
      </c>
      <c r="H18" s="2" t="s">
        <v>36</v>
      </c>
      <c r="I18" s="2" t="s">
        <v>56</v>
      </c>
      <c r="J18" s="2" t="s">
        <v>76</v>
      </c>
      <c r="K18" s="4">
        <v>46322</v>
      </c>
    </row>
    <row r="19" spans="1:11" ht="42" customHeight="1">
      <c r="A19" s="3" t="s">
        <v>77</v>
      </c>
      <c r="B19" s="2" t="s">
        <v>54</v>
      </c>
      <c r="C19" s="2" t="s">
        <v>78</v>
      </c>
      <c r="D19" s="2" t="s">
        <v>79</v>
      </c>
      <c r="E19" s="3" t="s">
        <v>30</v>
      </c>
      <c r="F19" s="4">
        <v>46352</v>
      </c>
      <c r="G19" s="2" t="s">
        <v>66</v>
      </c>
      <c r="H19" s="2" t="s">
        <v>48</v>
      </c>
      <c r="I19" s="2" t="s">
        <v>56</v>
      </c>
      <c r="J19" s="2" t="s">
        <v>80</v>
      </c>
      <c r="K19" s="4">
        <v>46322</v>
      </c>
    </row>
    <row r="20" spans="1:11" ht="42" customHeight="1">
      <c r="A20" s="3" t="s">
        <v>81</v>
      </c>
      <c r="B20" s="2" t="s">
        <v>54</v>
      </c>
      <c r="C20" s="2" t="s">
        <v>82</v>
      </c>
      <c r="D20" s="2" t="s">
        <v>50</v>
      </c>
      <c r="E20" s="3" t="s">
        <v>30</v>
      </c>
      <c r="F20" s="4">
        <v>46366</v>
      </c>
      <c r="G20" s="2" t="s">
        <v>83</v>
      </c>
      <c r="H20" s="2" t="s">
        <v>48</v>
      </c>
      <c r="I20" s="2" t="s">
        <v>56</v>
      </c>
      <c r="J20" s="2" t="s">
        <v>84</v>
      </c>
      <c r="K20" s="4">
        <v>46322</v>
      </c>
    </row>
    <row r="21" spans="1:11" ht="42" customHeight="1">
      <c r="A21" s="3" t="s">
        <v>85</v>
      </c>
      <c r="B21" s="2" t="s">
        <v>86</v>
      </c>
      <c r="C21" s="2" t="s">
        <v>87</v>
      </c>
      <c r="D21" s="2" t="s">
        <v>16</v>
      </c>
      <c r="E21" s="3" t="s">
        <v>17</v>
      </c>
      <c r="F21" s="4">
        <v>46318</v>
      </c>
      <c r="G21" s="2" t="s">
        <v>73</v>
      </c>
      <c r="H21" s="2" t="s">
        <v>53</v>
      </c>
      <c r="I21" s="2" t="s">
        <v>88</v>
      </c>
      <c r="J21" s="2" t="s">
        <v>89</v>
      </c>
      <c r="K21" s="4">
        <v>46322</v>
      </c>
    </row>
    <row r="22" spans="1:11" ht="42" customHeight="1">
      <c r="A22" s="3" t="s">
        <v>90</v>
      </c>
      <c r="B22" s="2" t="s">
        <v>86</v>
      </c>
      <c r="C22" s="2" t="s">
        <v>91</v>
      </c>
      <c r="D22" s="2" t="s">
        <v>60</v>
      </c>
      <c r="E22" s="3" t="s">
        <v>30</v>
      </c>
      <c r="F22" s="4">
        <v>46325</v>
      </c>
      <c r="G22" s="2" t="s">
        <v>85</v>
      </c>
      <c r="H22" s="2" t="s">
        <v>58</v>
      </c>
      <c r="I22" s="2" t="s">
        <v>88</v>
      </c>
      <c r="J22" s="2" t="s">
        <v>92</v>
      </c>
      <c r="K22" s="4">
        <v>46322</v>
      </c>
    </row>
    <row r="23" spans="1:11" ht="42" customHeight="1">
      <c r="A23" s="3" t="s">
        <v>93</v>
      </c>
      <c r="B23" s="2" t="s">
        <v>86</v>
      </c>
      <c r="C23" s="2" t="s">
        <v>94</v>
      </c>
      <c r="D23" s="2" t="s">
        <v>38</v>
      </c>
      <c r="E23" s="3" t="s">
        <v>39</v>
      </c>
      <c r="F23" s="4">
        <v>46332</v>
      </c>
      <c r="G23" s="2" t="s">
        <v>66</v>
      </c>
      <c r="H23" s="2" t="s">
        <v>62</v>
      </c>
      <c r="I23" s="2" t="s">
        <v>88</v>
      </c>
      <c r="J23" s="2" t="s">
        <v>95</v>
      </c>
      <c r="K23" s="4">
        <v>46322</v>
      </c>
    </row>
    <row r="24" spans="1:11" ht="42" customHeight="1">
      <c r="A24" s="3" t="s">
        <v>96</v>
      </c>
      <c r="B24" s="2" t="s">
        <v>86</v>
      </c>
      <c r="C24" s="2" t="s">
        <v>97</v>
      </c>
      <c r="D24" s="2" t="s">
        <v>38</v>
      </c>
      <c r="E24" s="3" t="s">
        <v>25</v>
      </c>
      <c r="F24" s="4">
        <v>46339</v>
      </c>
      <c r="G24" s="2" t="s">
        <v>93</v>
      </c>
      <c r="H24" s="2" t="s">
        <v>66</v>
      </c>
      <c r="I24" s="2" t="s">
        <v>88</v>
      </c>
      <c r="J24" s="2" t="s">
        <v>98</v>
      </c>
      <c r="K24" s="4">
        <v>46322</v>
      </c>
    </row>
    <row r="25" spans="1:11" ht="42" customHeight="1">
      <c r="A25" s="3" t="s">
        <v>99</v>
      </c>
      <c r="B25" s="2" t="s">
        <v>86</v>
      </c>
      <c r="C25" s="2" t="s">
        <v>100</v>
      </c>
      <c r="D25" s="2" t="s">
        <v>68</v>
      </c>
      <c r="E25" s="3" t="s">
        <v>17</v>
      </c>
      <c r="F25" s="4">
        <v>46346</v>
      </c>
      <c r="G25" s="2" t="s">
        <v>81</v>
      </c>
      <c r="H25" s="2" t="s">
        <v>73</v>
      </c>
      <c r="I25" s="2" t="s">
        <v>88</v>
      </c>
      <c r="J25" s="2" t="s">
        <v>101</v>
      </c>
      <c r="K25" s="4">
        <v>46322</v>
      </c>
    </row>
    <row r="26" spans="1:11" ht="42" customHeight="1">
      <c r="A26" s="3" t="s">
        <v>102</v>
      </c>
      <c r="B26" s="2" t="s">
        <v>86</v>
      </c>
      <c r="C26" s="2" t="s">
        <v>103</v>
      </c>
      <c r="D26" s="2" t="s">
        <v>50</v>
      </c>
      <c r="E26" s="3" t="s">
        <v>30</v>
      </c>
      <c r="F26" s="4">
        <v>46353</v>
      </c>
      <c r="G26" s="2" t="s">
        <v>96</v>
      </c>
      <c r="H26" s="2" t="s">
        <v>70</v>
      </c>
      <c r="I26" s="2" t="s">
        <v>88</v>
      </c>
      <c r="J26" s="2" t="s">
        <v>104</v>
      </c>
      <c r="K26" s="4">
        <v>46322</v>
      </c>
    </row>
    <row r="27" spans="1:11" ht="42" customHeight="1">
      <c r="A27" s="3" t="s">
        <v>105</v>
      </c>
      <c r="B27" s="2" t="s">
        <v>86</v>
      </c>
      <c r="C27" s="2" t="s">
        <v>106</v>
      </c>
      <c r="D27" s="2" t="s">
        <v>79</v>
      </c>
      <c r="E27" s="3" t="s">
        <v>30</v>
      </c>
      <c r="F27" s="4">
        <v>46360</v>
      </c>
      <c r="G27" s="2" t="s">
        <v>99</v>
      </c>
      <c r="H27" s="2" t="s">
        <v>77</v>
      </c>
      <c r="I27" s="2" t="s">
        <v>88</v>
      </c>
      <c r="J27" s="2" t="s">
        <v>107</v>
      </c>
      <c r="K27" s="4">
        <v>46322</v>
      </c>
    </row>
    <row r="28" spans="1:11" ht="42" customHeight="1">
      <c r="A28" s="3" t="s">
        <v>108</v>
      </c>
      <c r="B28" s="2" t="s">
        <v>86</v>
      </c>
      <c r="C28" s="2" t="s">
        <v>109</v>
      </c>
      <c r="D28" s="2" t="s">
        <v>50</v>
      </c>
      <c r="E28" s="3" t="s">
        <v>30</v>
      </c>
      <c r="F28" s="4">
        <v>46371</v>
      </c>
      <c r="G28" s="2" t="s">
        <v>110</v>
      </c>
      <c r="H28" s="2" t="s">
        <v>81</v>
      </c>
      <c r="I28" s="2" t="s">
        <v>88</v>
      </c>
      <c r="J28" s="2" t="s">
        <v>111</v>
      </c>
      <c r="K28" s="4">
        <v>46322</v>
      </c>
    </row>
  </sheetData>
  <mergeCells count="2">
    <mergeCell ref="A1:K1"/>
    <mergeCell ref="A2:K2"/>
  </mergeCells>
  <conditionalFormatting sqref="E5:E28">
    <cfRule type="containsText" dxfId="15" priority="1" operator="containsText" text="Completed"/>
    <cfRule type="containsText" dxfId="14" priority="2" operator="containsText" text="Blocked"/>
    <cfRule type="containsText" dxfId="13" priority="3" operator="containsText" text="At Risk"/>
  </conditionalFormatting>
  <conditionalFormatting sqref="F5:F28">
    <cfRule type="timePeriod" dxfId="12" priority="4" timePeriod="last7Days">
      <formula>AND(TODAY()-FLOOR(F5,1)&lt;=6,FLOOR(F5,1)&lt;=TODAY())</formula>
    </cfRule>
  </conditionalFormatting>
  <dataValidations count="1">
    <dataValidation type="list" sqref="E5:E28" xr:uid="{00000000-0002-0000-0000-000000000000}">
      <formula1>"Not Started,In Progress,Completed,Blocked,At Risk"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2"/>
  <sheetViews>
    <sheetView showGridLines="0" workbookViewId="0">
      <pane ySplit="4" topLeftCell="A5" activePane="bottomLeft" state="frozen"/>
      <selection pane="bottomLeft"/>
    </sheetView>
  </sheetViews>
  <sheetFormatPr defaultRowHeight="14"/>
  <cols>
    <col min="1" max="1" width="12" customWidth="1"/>
    <col min="2" max="2" width="28" customWidth="1"/>
    <col min="3" max="3" width="52" customWidth="1"/>
    <col min="4" max="4" width="23" customWidth="1"/>
    <col min="5" max="6" width="14" customWidth="1"/>
    <col min="7" max="7" width="27" customWidth="1"/>
    <col min="8" max="8" width="25" customWidth="1"/>
    <col min="9" max="10" width="42" customWidth="1"/>
    <col min="11" max="11" width="17" customWidth="1"/>
  </cols>
  <sheetData>
    <row r="1" spans="1:11" ht="24" customHeight="1">
      <c r="A1" s="5" t="s">
        <v>112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spans="1:11" ht="18" customHeight="1">
      <c r="A2" s="6" t="s">
        <v>113</v>
      </c>
      <c r="B2" s="6"/>
      <c r="C2" s="6"/>
      <c r="D2" s="6"/>
      <c r="E2" s="6"/>
      <c r="F2" s="6"/>
      <c r="G2" s="6"/>
      <c r="H2" s="6"/>
      <c r="I2" s="6"/>
      <c r="J2" s="6"/>
      <c r="K2" s="6"/>
    </row>
    <row r="4" spans="1:11" ht="34" customHeight="1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</row>
    <row r="5" spans="1:11" ht="42" customHeight="1">
      <c r="A5" s="3" t="s">
        <v>13</v>
      </c>
      <c r="B5" s="2" t="s">
        <v>14</v>
      </c>
      <c r="C5" s="2" t="s">
        <v>15</v>
      </c>
      <c r="D5" s="2" t="s">
        <v>16</v>
      </c>
      <c r="E5" s="3" t="s">
        <v>17</v>
      </c>
      <c r="F5" s="4">
        <v>46304</v>
      </c>
      <c r="G5" s="2" t="s">
        <v>18</v>
      </c>
      <c r="H5" s="2" t="s">
        <v>19</v>
      </c>
      <c r="I5" s="2" t="s">
        <v>114</v>
      </c>
      <c r="J5" s="2" t="s">
        <v>21</v>
      </c>
      <c r="K5" s="4">
        <v>46322</v>
      </c>
    </row>
    <row r="6" spans="1:11" ht="42" customHeight="1">
      <c r="A6" s="3" t="s">
        <v>22</v>
      </c>
      <c r="B6" s="2" t="s">
        <v>14</v>
      </c>
      <c r="C6" s="2" t="s">
        <v>23</v>
      </c>
      <c r="D6" s="2" t="s">
        <v>24</v>
      </c>
      <c r="E6" s="3" t="s">
        <v>25</v>
      </c>
      <c r="F6" s="4">
        <v>46308</v>
      </c>
      <c r="G6" s="2" t="s">
        <v>18</v>
      </c>
      <c r="H6" s="2" t="s">
        <v>19</v>
      </c>
      <c r="I6" s="2" t="s">
        <v>114</v>
      </c>
      <c r="J6" s="2" t="s">
        <v>26</v>
      </c>
      <c r="K6" s="4">
        <v>46322</v>
      </c>
    </row>
    <row r="7" spans="1:11" ht="42" customHeight="1">
      <c r="A7" s="3" t="s">
        <v>27</v>
      </c>
      <c r="B7" s="2" t="s">
        <v>14</v>
      </c>
      <c r="C7" s="2" t="s">
        <v>28</v>
      </c>
      <c r="D7" s="2" t="s">
        <v>29</v>
      </c>
      <c r="E7" s="3" t="s">
        <v>30</v>
      </c>
      <c r="F7" s="4">
        <v>46315</v>
      </c>
      <c r="G7" s="2" t="s">
        <v>13</v>
      </c>
      <c r="H7" s="2" t="s">
        <v>19</v>
      </c>
      <c r="I7" s="2" t="s">
        <v>114</v>
      </c>
      <c r="J7" s="2" t="s">
        <v>31</v>
      </c>
      <c r="K7" s="4">
        <v>46322</v>
      </c>
    </row>
    <row r="8" spans="1:11" ht="42" customHeight="1">
      <c r="A8" s="3" t="s">
        <v>32</v>
      </c>
      <c r="B8" s="2" t="s">
        <v>14</v>
      </c>
      <c r="C8" s="2" t="s">
        <v>33</v>
      </c>
      <c r="D8" s="2" t="s">
        <v>34</v>
      </c>
      <c r="E8" s="3" t="s">
        <v>17</v>
      </c>
      <c r="F8" s="4">
        <v>46322</v>
      </c>
      <c r="G8" s="2" t="s">
        <v>22</v>
      </c>
      <c r="H8" s="2" t="s">
        <v>19</v>
      </c>
      <c r="I8" s="2" t="s">
        <v>114</v>
      </c>
      <c r="J8" s="2" t="s">
        <v>35</v>
      </c>
      <c r="K8" s="4">
        <v>46322</v>
      </c>
    </row>
    <row r="9" spans="1:11" ht="42" customHeight="1">
      <c r="A9" s="3" t="s">
        <v>36</v>
      </c>
      <c r="B9" s="2" t="s">
        <v>14</v>
      </c>
      <c r="C9" s="2" t="s">
        <v>37</v>
      </c>
      <c r="D9" s="2" t="s">
        <v>38</v>
      </c>
      <c r="E9" s="3" t="s">
        <v>39</v>
      </c>
      <c r="F9" s="4">
        <v>46329</v>
      </c>
      <c r="G9" s="2" t="s">
        <v>27</v>
      </c>
      <c r="H9" s="2" t="s">
        <v>19</v>
      </c>
      <c r="I9" s="2" t="s">
        <v>114</v>
      </c>
      <c r="J9" s="2" t="s">
        <v>40</v>
      </c>
      <c r="K9" s="4">
        <v>46322</v>
      </c>
    </row>
    <row r="10" spans="1:11" ht="42" customHeight="1">
      <c r="A10" s="3" t="s">
        <v>41</v>
      </c>
      <c r="B10" s="2" t="s">
        <v>14</v>
      </c>
      <c r="C10" s="2" t="s">
        <v>42</v>
      </c>
      <c r="D10" s="2" t="s">
        <v>24</v>
      </c>
      <c r="E10" s="3" t="s">
        <v>17</v>
      </c>
      <c r="F10" s="4">
        <v>46336</v>
      </c>
      <c r="G10" s="2" t="s">
        <v>36</v>
      </c>
      <c r="H10" s="2" t="s">
        <v>19</v>
      </c>
      <c r="I10" s="2" t="s">
        <v>114</v>
      </c>
      <c r="J10" s="2" t="s">
        <v>43</v>
      </c>
      <c r="K10" s="4">
        <v>46322</v>
      </c>
    </row>
    <row r="11" spans="1:11" ht="42" customHeight="1">
      <c r="A11" s="3" t="s">
        <v>44</v>
      </c>
      <c r="B11" s="2" t="s">
        <v>14</v>
      </c>
      <c r="C11" s="2" t="s">
        <v>45</v>
      </c>
      <c r="D11" s="2" t="s">
        <v>46</v>
      </c>
      <c r="E11" s="3" t="s">
        <v>30</v>
      </c>
      <c r="F11" s="4">
        <v>46343</v>
      </c>
      <c r="G11" s="2" t="s">
        <v>32</v>
      </c>
      <c r="H11" s="2" t="s">
        <v>19</v>
      </c>
      <c r="I11" s="2" t="s">
        <v>114</v>
      </c>
      <c r="J11" s="2" t="s">
        <v>47</v>
      </c>
      <c r="K11" s="4">
        <v>46322</v>
      </c>
    </row>
    <row r="12" spans="1:11" ht="42" customHeight="1">
      <c r="A12" s="3" t="s">
        <v>48</v>
      </c>
      <c r="B12" s="2" t="s">
        <v>14</v>
      </c>
      <c r="C12" s="2" t="s">
        <v>49</v>
      </c>
      <c r="D12" s="2" t="s">
        <v>50</v>
      </c>
      <c r="E12" s="3" t="s">
        <v>30</v>
      </c>
      <c r="F12" s="4">
        <v>46357</v>
      </c>
      <c r="G12" s="2" t="s">
        <v>51</v>
      </c>
      <c r="H12" s="2" t="s">
        <v>19</v>
      </c>
      <c r="I12" s="2" t="s">
        <v>114</v>
      </c>
      <c r="J12" s="2" t="s">
        <v>52</v>
      </c>
      <c r="K12" s="4">
        <v>46322</v>
      </c>
    </row>
  </sheetData>
  <mergeCells count="2">
    <mergeCell ref="A1:K1"/>
    <mergeCell ref="A2:K2"/>
  </mergeCells>
  <conditionalFormatting sqref="E5:E12">
    <cfRule type="containsText" dxfId="11" priority="1" operator="containsText" text="Completed"/>
    <cfRule type="containsText" dxfId="10" priority="2" operator="containsText" text="Blocked"/>
    <cfRule type="containsText" dxfId="9" priority="3" operator="containsText" text="At Risk"/>
  </conditionalFormatting>
  <conditionalFormatting sqref="F5:F12">
    <cfRule type="timePeriod" dxfId="8" priority="4" timePeriod="last7Days">
      <formula>AND(TODAY()-FLOOR(F5,1)&lt;=6,FLOOR(F5,1)&lt;=TODAY())</formula>
    </cfRule>
  </conditionalFormatting>
  <dataValidations count="1">
    <dataValidation type="list" sqref="E5:E12" xr:uid="{00000000-0002-0000-0100-000000000000}">
      <formula1>"Not Started,In Progress,Completed,Blocked,At Risk"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2"/>
  <sheetViews>
    <sheetView showGridLines="0" workbookViewId="0">
      <pane ySplit="4" topLeftCell="A5" activePane="bottomLeft" state="frozen"/>
      <selection pane="bottomLeft"/>
    </sheetView>
  </sheetViews>
  <sheetFormatPr defaultRowHeight="14"/>
  <cols>
    <col min="1" max="1" width="12" customWidth="1"/>
    <col min="2" max="2" width="28" customWidth="1"/>
    <col min="3" max="3" width="52" customWidth="1"/>
    <col min="4" max="4" width="23" customWidth="1"/>
    <col min="5" max="6" width="14" customWidth="1"/>
    <col min="7" max="7" width="27" customWidth="1"/>
    <col min="8" max="8" width="25" customWidth="1"/>
    <col min="9" max="10" width="42" customWidth="1"/>
    <col min="11" max="11" width="17" customWidth="1"/>
  </cols>
  <sheetData>
    <row r="1" spans="1:11" ht="24" customHeight="1">
      <c r="A1" s="5" t="s">
        <v>115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spans="1:11" ht="18" customHeight="1">
      <c r="A2" s="6" t="s">
        <v>116</v>
      </c>
      <c r="B2" s="6"/>
      <c r="C2" s="6"/>
      <c r="D2" s="6"/>
      <c r="E2" s="6"/>
      <c r="F2" s="6"/>
      <c r="G2" s="6"/>
      <c r="H2" s="6"/>
      <c r="I2" s="6"/>
      <c r="J2" s="6"/>
      <c r="K2" s="6"/>
    </row>
    <row r="4" spans="1:11" ht="34" customHeight="1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</row>
    <row r="5" spans="1:11" ht="42" customHeight="1">
      <c r="A5" s="3" t="s">
        <v>53</v>
      </c>
      <c r="B5" s="2" t="s">
        <v>54</v>
      </c>
      <c r="C5" s="2" t="s">
        <v>55</v>
      </c>
      <c r="D5" s="2" t="s">
        <v>24</v>
      </c>
      <c r="E5" s="3" t="s">
        <v>17</v>
      </c>
      <c r="F5" s="4">
        <v>46311</v>
      </c>
      <c r="G5" s="2" t="s">
        <v>36</v>
      </c>
      <c r="H5" s="2" t="s">
        <v>22</v>
      </c>
      <c r="I5" s="2" t="s">
        <v>117</v>
      </c>
      <c r="J5" s="2" t="s">
        <v>57</v>
      </c>
      <c r="K5" s="4">
        <v>46322</v>
      </c>
    </row>
    <row r="6" spans="1:11" ht="42" customHeight="1">
      <c r="A6" s="3" t="s">
        <v>58</v>
      </c>
      <c r="B6" s="2" t="s">
        <v>54</v>
      </c>
      <c r="C6" s="2" t="s">
        <v>59</v>
      </c>
      <c r="D6" s="2" t="s">
        <v>60</v>
      </c>
      <c r="E6" s="3" t="s">
        <v>39</v>
      </c>
      <c r="F6" s="4">
        <v>46317</v>
      </c>
      <c r="G6" s="2" t="s">
        <v>53</v>
      </c>
      <c r="H6" s="2" t="s">
        <v>32</v>
      </c>
      <c r="I6" s="2" t="s">
        <v>117</v>
      </c>
      <c r="J6" s="2" t="s">
        <v>61</v>
      </c>
      <c r="K6" s="4">
        <v>46322</v>
      </c>
    </row>
    <row r="7" spans="1:11" ht="42" customHeight="1">
      <c r="A7" s="3" t="s">
        <v>62</v>
      </c>
      <c r="B7" s="2" t="s">
        <v>54</v>
      </c>
      <c r="C7" s="2" t="s">
        <v>63</v>
      </c>
      <c r="D7" s="2" t="s">
        <v>34</v>
      </c>
      <c r="E7" s="3" t="s">
        <v>64</v>
      </c>
      <c r="F7" s="4">
        <v>46324</v>
      </c>
      <c r="G7" s="2" t="s">
        <v>41</v>
      </c>
      <c r="H7" s="2" t="s">
        <v>41</v>
      </c>
      <c r="I7" s="2" t="s">
        <v>117</v>
      </c>
      <c r="J7" s="2" t="s">
        <v>65</v>
      </c>
      <c r="K7" s="4">
        <v>46322</v>
      </c>
    </row>
    <row r="8" spans="1:11" ht="42" customHeight="1">
      <c r="A8" s="3" t="s">
        <v>66</v>
      </c>
      <c r="B8" s="2" t="s">
        <v>54</v>
      </c>
      <c r="C8" s="2" t="s">
        <v>67</v>
      </c>
      <c r="D8" s="2" t="s">
        <v>68</v>
      </c>
      <c r="E8" s="3" t="s">
        <v>25</v>
      </c>
      <c r="F8" s="4">
        <v>46331</v>
      </c>
      <c r="G8" s="2" t="s">
        <v>62</v>
      </c>
      <c r="H8" s="2" t="s">
        <v>44</v>
      </c>
      <c r="I8" s="2" t="s">
        <v>117</v>
      </c>
      <c r="J8" s="2" t="s">
        <v>69</v>
      </c>
      <c r="K8" s="4">
        <v>46322</v>
      </c>
    </row>
    <row r="9" spans="1:11" ht="42" customHeight="1">
      <c r="A9" s="3" t="s">
        <v>70</v>
      </c>
      <c r="B9" s="2" t="s">
        <v>54</v>
      </c>
      <c r="C9" s="2" t="s">
        <v>71</v>
      </c>
      <c r="D9" s="2" t="s">
        <v>46</v>
      </c>
      <c r="E9" s="3" t="s">
        <v>17</v>
      </c>
      <c r="F9" s="4">
        <v>46338</v>
      </c>
      <c r="G9" s="2" t="s">
        <v>58</v>
      </c>
      <c r="H9" s="2" t="s">
        <v>48</v>
      </c>
      <c r="I9" s="2" t="s">
        <v>117</v>
      </c>
      <c r="J9" s="2" t="s">
        <v>72</v>
      </c>
      <c r="K9" s="4">
        <v>46322</v>
      </c>
    </row>
    <row r="10" spans="1:11" ht="42" customHeight="1">
      <c r="A10" s="3" t="s">
        <v>73</v>
      </c>
      <c r="B10" s="2" t="s">
        <v>54</v>
      </c>
      <c r="C10" s="2" t="s">
        <v>74</v>
      </c>
      <c r="D10" s="2" t="s">
        <v>75</v>
      </c>
      <c r="E10" s="3" t="s">
        <v>17</v>
      </c>
      <c r="F10" s="4">
        <v>46345</v>
      </c>
      <c r="G10" s="2" t="s">
        <v>48</v>
      </c>
      <c r="H10" s="2" t="s">
        <v>36</v>
      </c>
      <c r="I10" s="2" t="s">
        <v>117</v>
      </c>
      <c r="J10" s="2" t="s">
        <v>76</v>
      </c>
      <c r="K10" s="4">
        <v>46322</v>
      </c>
    </row>
    <row r="11" spans="1:11" ht="42" customHeight="1">
      <c r="A11" s="3" t="s">
        <v>77</v>
      </c>
      <c r="B11" s="2" t="s">
        <v>54</v>
      </c>
      <c r="C11" s="2" t="s">
        <v>78</v>
      </c>
      <c r="D11" s="2" t="s">
        <v>79</v>
      </c>
      <c r="E11" s="3" t="s">
        <v>30</v>
      </c>
      <c r="F11" s="4">
        <v>46352</v>
      </c>
      <c r="G11" s="2" t="s">
        <v>66</v>
      </c>
      <c r="H11" s="2" t="s">
        <v>48</v>
      </c>
      <c r="I11" s="2" t="s">
        <v>117</v>
      </c>
      <c r="J11" s="2" t="s">
        <v>80</v>
      </c>
      <c r="K11" s="4">
        <v>46322</v>
      </c>
    </row>
    <row r="12" spans="1:11" ht="42" customHeight="1">
      <c r="A12" s="3" t="s">
        <v>81</v>
      </c>
      <c r="B12" s="2" t="s">
        <v>54</v>
      </c>
      <c r="C12" s="2" t="s">
        <v>82</v>
      </c>
      <c r="D12" s="2" t="s">
        <v>50</v>
      </c>
      <c r="E12" s="3" t="s">
        <v>30</v>
      </c>
      <c r="F12" s="4">
        <v>46366</v>
      </c>
      <c r="G12" s="2" t="s">
        <v>83</v>
      </c>
      <c r="H12" s="2" t="s">
        <v>48</v>
      </c>
      <c r="I12" s="2" t="s">
        <v>117</v>
      </c>
      <c r="J12" s="2" t="s">
        <v>84</v>
      </c>
      <c r="K12" s="4">
        <v>46322</v>
      </c>
    </row>
  </sheetData>
  <mergeCells count="2">
    <mergeCell ref="A1:K1"/>
    <mergeCell ref="A2:K2"/>
  </mergeCells>
  <conditionalFormatting sqref="E5:E12">
    <cfRule type="containsText" dxfId="7" priority="1" operator="containsText" text="Completed"/>
    <cfRule type="containsText" dxfId="6" priority="2" operator="containsText" text="Blocked"/>
    <cfRule type="containsText" dxfId="5" priority="3" operator="containsText" text="At Risk"/>
  </conditionalFormatting>
  <conditionalFormatting sqref="F5:F12">
    <cfRule type="timePeriod" dxfId="4" priority="4" timePeriod="last7Days">
      <formula>AND(TODAY()-FLOOR(F5,1)&lt;=6,FLOOR(F5,1)&lt;=TODAY())</formula>
    </cfRule>
  </conditionalFormatting>
  <dataValidations count="1">
    <dataValidation type="list" sqref="E5:E12" xr:uid="{00000000-0002-0000-0200-000000000000}">
      <formula1>"Not Started,In Progress,Completed,Blocked,At Risk"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2"/>
  <sheetViews>
    <sheetView showGridLines="0" workbookViewId="0">
      <pane ySplit="4" topLeftCell="A5" activePane="bottomLeft" state="frozen"/>
      <selection pane="bottomLeft"/>
    </sheetView>
  </sheetViews>
  <sheetFormatPr defaultRowHeight="14"/>
  <cols>
    <col min="1" max="1" width="12" customWidth="1"/>
    <col min="2" max="2" width="28" customWidth="1"/>
    <col min="3" max="3" width="52" customWidth="1"/>
    <col min="4" max="4" width="23" customWidth="1"/>
    <col min="5" max="6" width="14" customWidth="1"/>
    <col min="7" max="7" width="27" customWidth="1"/>
    <col min="8" max="8" width="25" customWidth="1"/>
    <col min="9" max="10" width="42" customWidth="1"/>
    <col min="11" max="11" width="17" customWidth="1"/>
  </cols>
  <sheetData>
    <row r="1" spans="1:11" ht="24" customHeight="1">
      <c r="A1" s="5" t="s">
        <v>118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spans="1:11" ht="18" customHeight="1">
      <c r="A2" s="6" t="s">
        <v>119</v>
      </c>
      <c r="B2" s="6"/>
      <c r="C2" s="6"/>
      <c r="D2" s="6"/>
      <c r="E2" s="6"/>
      <c r="F2" s="6"/>
      <c r="G2" s="6"/>
      <c r="H2" s="6"/>
      <c r="I2" s="6"/>
      <c r="J2" s="6"/>
      <c r="K2" s="6"/>
    </row>
    <row r="4" spans="1:11" ht="34" customHeight="1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</row>
    <row r="5" spans="1:11" ht="42" customHeight="1">
      <c r="A5" s="3" t="s">
        <v>85</v>
      </c>
      <c r="B5" s="2" t="s">
        <v>86</v>
      </c>
      <c r="C5" s="2" t="s">
        <v>87</v>
      </c>
      <c r="D5" s="2" t="s">
        <v>16</v>
      </c>
      <c r="E5" s="3" t="s">
        <v>17</v>
      </c>
      <c r="F5" s="4">
        <v>46318</v>
      </c>
      <c r="G5" s="2" t="s">
        <v>73</v>
      </c>
      <c r="H5" s="2" t="s">
        <v>53</v>
      </c>
      <c r="I5" s="2" t="s">
        <v>120</v>
      </c>
      <c r="J5" s="2" t="s">
        <v>89</v>
      </c>
      <c r="K5" s="4">
        <v>46322</v>
      </c>
    </row>
    <row r="6" spans="1:11" ht="42" customHeight="1">
      <c r="A6" s="3" t="s">
        <v>90</v>
      </c>
      <c r="B6" s="2" t="s">
        <v>86</v>
      </c>
      <c r="C6" s="2" t="s">
        <v>91</v>
      </c>
      <c r="D6" s="2" t="s">
        <v>60</v>
      </c>
      <c r="E6" s="3" t="s">
        <v>30</v>
      </c>
      <c r="F6" s="4">
        <v>46325</v>
      </c>
      <c r="G6" s="2" t="s">
        <v>85</v>
      </c>
      <c r="H6" s="2" t="s">
        <v>58</v>
      </c>
      <c r="I6" s="2" t="s">
        <v>120</v>
      </c>
      <c r="J6" s="2" t="s">
        <v>92</v>
      </c>
      <c r="K6" s="4">
        <v>46322</v>
      </c>
    </row>
    <row r="7" spans="1:11" ht="42" customHeight="1">
      <c r="A7" s="3" t="s">
        <v>93</v>
      </c>
      <c r="B7" s="2" t="s">
        <v>86</v>
      </c>
      <c r="C7" s="2" t="s">
        <v>94</v>
      </c>
      <c r="D7" s="2" t="s">
        <v>38</v>
      </c>
      <c r="E7" s="3" t="s">
        <v>39</v>
      </c>
      <c r="F7" s="4">
        <v>46332</v>
      </c>
      <c r="G7" s="2" t="s">
        <v>66</v>
      </c>
      <c r="H7" s="2" t="s">
        <v>62</v>
      </c>
      <c r="I7" s="2" t="s">
        <v>120</v>
      </c>
      <c r="J7" s="2" t="s">
        <v>95</v>
      </c>
      <c r="K7" s="4">
        <v>46322</v>
      </c>
    </row>
    <row r="8" spans="1:11" ht="42" customHeight="1">
      <c r="A8" s="3" t="s">
        <v>96</v>
      </c>
      <c r="B8" s="2" t="s">
        <v>86</v>
      </c>
      <c r="C8" s="2" t="s">
        <v>97</v>
      </c>
      <c r="D8" s="2" t="s">
        <v>38</v>
      </c>
      <c r="E8" s="3" t="s">
        <v>25</v>
      </c>
      <c r="F8" s="4">
        <v>46339</v>
      </c>
      <c r="G8" s="2" t="s">
        <v>93</v>
      </c>
      <c r="H8" s="2" t="s">
        <v>66</v>
      </c>
      <c r="I8" s="2" t="s">
        <v>120</v>
      </c>
      <c r="J8" s="2" t="s">
        <v>98</v>
      </c>
      <c r="K8" s="4">
        <v>46322</v>
      </c>
    </row>
    <row r="9" spans="1:11" ht="42" customHeight="1">
      <c r="A9" s="3" t="s">
        <v>99</v>
      </c>
      <c r="B9" s="2" t="s">
        <v>86</v>
      </c>
      <c r="C9" s="2" t="s">
        <v>100</v>
      </c>
      <c r="D9" s="2" t="s">
        <v>68</v>
      </c>
      <c r="E9" s="3" t="s">
        <v>17</v>
      </c>
      <c r="F9" s="4">
        <v>46346</v>
      </c>
      <c r="G9" s="2" t="s">
        <v>81</v>
      </c>
      <c r="H9" s="2" t="s">
        <v>73</v>
      </c>
      <c r="I9" s="2" t="s">
        <v>120</v>
      </c>
      <c r="J9" s="2" t="s">
        <v>101</v>
      </c>
      <c r="K9" s="4">
        <v>46322</v>
      </c>
    </row>
    <row r="10" spans="1:11" ht="42" customHeight="1">
      <c r="A10" s="3" t="s">
        <v>102</v>
      </c>
      <c r="B10" s="2" t="s">
        <v>86</v>
      </c>
      <c r="C10" s="2" t="s">
        <v>103</v>
      </c>
      <c r="D10" s="2" t="s">
        <v>50</v>
      </c>
      <c r="E10" s="3" t="s">
        <v>30</v>
      </c>
      <c r="F10" s="4">
        <v>46353</v>
      </c>
      <c r="G10" s="2" t="s">
        <v>96</v>
      </c>
      <c r="H10" s="2" t="s">
        <v>70</v>
      </c>
      <c r="I10" s="2" t="s">
        <v>120</v>
      </c>
      <c r="J10" s="2" t="s">
        <v>104</v>
      </c>
      <c r="K10" s="4">
        <v>46322</v>
      </c>
    </row>
    <row r="11" spans="1:11" ht="42" customHeight="1">
      <c r="A11" s="3" t="s">
        <v>105</v>
      </c>
      <c r="B11" s="2" t="s">
        <v>86</v>
      </c>
      <c r="C11" s="2" t="s">
        <v>106</v>
      </c>
      <c r="D11" s="2" t="s">
        <v>79</v>
      </c>
      <c r="E11" s="3" t="s">
        <v>30</v>
      </c>
      <c r="F11" s="4">
        <v>46360</v>
      </c>
      <c r="G11" s="2" t="s">
        <v>99</v>
      </c>
      <c r="H11" s="2" t="s">
        <v>77</v>
      </c>
      <c r="I11" s="2" t="s">
        <v>120</v>
      </c>
      <c r="J11" s="2" t="s">
        <v>107</v>
      </c>
      <c r="K11" s="4">
        <v>46322</v>
      </c>
    </row>
    <row r="12" spans="1:11" ht="42" customHeight="1">
      <c r="A12" s="3" t="s">
        <v>108</v>
      </c>
      <c r="B12" s="2" t="s">
        <v>86</v>
      </c>
      <c r="C12" s="2" t="s">
        <v>109</v>
      </c>
      <c r="D12" s="2" t="s">
        <v>50</v>
      </c>
      <c r="E12" s="3" t="s">
        <v>30</v>
      </c>
      <c r="F12" s="4">
        <v>46371</v>
      </c>
      <c r="G12" s="2" t="s">
        <v>110</v>
      </c>
      <c r="H12" s="2" t="s">
        <v>81</v>
      </c>
      <c r="I12" s="2" t="s">
        <v>120</v>
      </c>
      <c r="J12" s="2" t="s">
        <v>111</v>
      </c>
      <c r="K12" s="4">
        <v>46322</v>
      </c>
    </row>
  </sheetData>
  <mergeCells count="2">
    <mergeCell ref="A1:K1"/>
    <mergeCell ref="A2:K2"/>
  </mergeCells>
  <conditionalFormatting sqref="E5:E12">
    <cfRule type="containsText" dxfId="3" priority="1" operator="containsText" text="Completed"/>
    <cfRule type="containsText" dxfId="2" priority="2" operator="containsText" text="Blocked"/>
    <cfRule type="containsText" dxfId="1" priority="3" operator="containsText" text="At Risk"/>
  </conditionalFormatting>
  <conditionalFormatting sqref="F5:F12">
    <cfRule type="timePeriod" dxfId="0" priority="4" timePeriod="last7Days">
      <formula>AND(TODAY()-FLOOR(F5,1)&lt;=6,FLOOR(F5,1)&lt;=TODAY())</formula>
    </cfRule>
  </conditionalFormatting>
  <dataValidations count="1">
    <dataValidation type="list" sqref="E5:E12" xr:uid="{00000000-0002-0000-0300-000000000000}">
      <formula1>"Not Started,In Progress,Completed,Blocked,At Risk"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Action Register</vt:lpstr>
      <vt:lpstr>Meeting 1</vt:lpstr>
      <vt:lpstr>Meeting 2</vt:lpstr>
      <vt:lpstr>Meeting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Ho Lip En (DSTA-MOBI)</cp:lastModifiedBy>
  <cp:lastPrinted>2026-10-27T03:08:18Z</cp:lastPrinted>
  <dcterms:created xsi:type="dcterms:W3CDTF">2026-10-27T03:08:28Z</dcterms:created>
  <dcterms:modified xsi:type="dcterms:W3CDTF">2026-10-27T03:08:28Z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e2e6ea9-9cb8-4ed1-a301-1de5a8b79906_Enabled">
    <vt:lpwstr>true</vt:lpwstr>
  </property>
  <property fmtid="{D5CDD505-2E9C-101B-9397-08002B2CF9AE}" pid="3" name="MSIP_Label_2e2e6ea9-9cb8-4ed1-a301-1de5a8b79906_SetDate">
    <vt:lpwstr>2026-10-27T03:08:14Z</vt:lpwstr>
  </property>
  <property fmtid="{D5CDD505-2E9C-101B-9397-08002B2CF9AE}" pid="4" name="MSIP_Label_2e2e6ea9-9cb8-4ed1-a301-1de5a8b79906_Method">
    <vt:lpwstr>Standard</vt:lpwstr>
  </property>
  <property fmtid="{D5CDD505-2E9C-101B-9397-08002B2CF9AE}" pid="5" name="MSIP_Label_2e2e6ea9-9cb8-4ed1-a301-1de5a8b79906_Name">
    <vt:lpwstr>Restricted Non-Sensitive</vt:lpwstr>
  </property>
  <property fmtid="{D5CDD505-2E9C-101B-9397-08002B2CF9AE}" pid="6" name="MSIP_Label_2e2e6ea9-9cb8-4ed1-a301-1de5a8b79906_SiteId">
    <vt:lpwstr>17558ced-9068-439c-bdf1-fe9f9e07f45e</vt:lpwstr>
  </property>
  <property fmtid="{D5CDD505-2E9C-101B-9397-08002B2CF9AE}" pid="7" name="MSIP_Label_2e2e6ea9-9cb8-4ed1-a301-1de5a8b79906_ActionId">
    <vt:lpwstr>0af7ce94-cf5d-4520-b3a0-044a66cdf330</vt:lpwstr>
  </property>
  <property fmtid="{D5CDD505-2E9C-101B-9397-08002B2CF9AE}" pid="8" name="MSIP_Label_2e2e6ea9-9cb8-4ed1-a301-1de5a8b79906_ContentBits">
    <vt:lpwstr>0</vt:lpwstr>
  </property>
  <property fmtid="{D5CDD505-2E9C-101B-9397-08002B2CF9AE}" pid="9" name="MSIP_Label_2e2e6ea9-9cb8-4ed1-a301-1de5a8b79906_Tag">
    <vt:lpwstr>10, 3, 0, 1</vt:lpwstr>
  </property>
</Properties>
</file>